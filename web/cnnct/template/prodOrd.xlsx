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pache-tomcat-6.0.37\webapps\jdurfid\cnnct\template\"/>
    </mc:Choice>
  </mc:AlternateContent>
  <bookViews>
    <workbookView xWindow="120" yWindow="90" windowWidth="15570" windowHeight="8610"/>
  </bookViews>
  <sheets>
    <sheet name="生产通知单模版" sheetId="1" r:id="rId1"/>
    <sheet name="常用辅料信息表" sheetId="2" r:id="rId2"/>
    <sheet name="Sheet3" sheetId="3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B24" i="1" l="1"/>
  <c r="A24" i="1"/>
  <c r="H21" i="1"/>
  <c r="G21" i="1"/>
  <c r="T21" i="1" s="1"/>
  <c r="T13" i="1" s="1"/>
  <c r="C24" i="1"/>
  <c r="S29" i="1"/>
  <c r="R29" i="1"/>
  <c r="Q29" i="1"/>
  <c r="Q30" i="1" s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S27" i="1"/>
  <c r="R27" i="1"/>
  <c r="Q27" i="1"/>
  <c r="P27" i="1"/>
  <c r="O27" i="1"/>
  <c r="N27" i="1"/>
  <c r="M27" i="1"/>
  <c r="L27" i="1"/>
  <c r="K27" i="1"/>
  <c r="K30" i="1" s="1"/>
  <c r="J27" i="1"/>
  <c r="I27" i="1"/>
  <c r="H27" i="1"/>
  <c r="G27" i="1"/>
  <c r="G30" i="1" s="1"/>
  <c r="F27" i="1"/>
  <c r="E27" i="1"/>
  <c r="D27" i="1"/>
  <c r="C27" i="1"/>
  <c r="B27" i="1"/>
  <c r="A27" i="1"/>
  <c r="S26" i="1"/>
  <c r="R26" i="1"/>
  <c r="R30" i="1" s="1"/>
  <c r="Q26" i="1"/>
  <c r="P26" i="1"/>
  <c r="O26" i="1"/>
  <c r="O30" i="1" s="1"/>
  <c r="N26" i="1"/>
  <c r="M26" i="1"/>
  <c r="L26" i="1"/>
  <c r="J26" i="1"/>
  <c r="I26" i="1"/>
  <c r="H26" i="1"/>
  <c r="G26" i="1"/>
  <c r="F26" i="1"/>
  <c r="E26" i="1"/>
  <c r="D26" i="1"/>
  <c r="C26" i="1"/>
  <c r="B26" i="1"/>
  <c r="A26" i="1"/>
  <c r="S25" i="1"/>
  <c r="R25" i="1"/>
  <c r="Q25" i="1"/>
  <c r="P25" i="1"/>
  <c r="O25" i="1"/>
  <c r="N25" i="1"/>
  <c r="M25" i="1"/>
  <c r="L25" i="1"/>
  <c r="L30" i="1" s="1"/>
  <c r="K25" i="1"/>
  <c r="J25" i="1"/>
  <c r="I25" i="1"/>
  <c r="H25" i="1"/>
  <c r="G25" i="1"/>
  <c r="F25" i="1"/>
  <c r="E25" i="1"/>
  <c r="D25" i="1"/>
  <c r="D30" i="1" s="1"/>
  <c r="C25" i="1"/>
  <c r="B25" i="1"/>
  <c r="A25" i="1"/>
  <c r="S24" i="1"/>
  <c r="S30" i="1" s="1"/>
  <c r="R24" i="1"/>
  <c r="Q24" i="1"/>
  <c r="P24" i="1"/>
  <c r="P30" i="1" s="1"/>
  <c r="O24" i="1"/>
  <c r="N24" i="1"/>
  <c r="M24" i="1"/>
  <c r="M30" i="1" s="1"/>
  <c r="L24" i="1"/>
  <c r="K24" i="1"/>
  <c r="J24" i="1"/>
  <c r="J30" i="1" s="1"/>
  <c r="I24" i="1"/>
  <c r="H24" i="1"/>
  <c r="G24" i="1"/>
  <c r="F24" i="1"/>
  <c r="E24" i="1"/>
  <c r="E30" i="1" s="1"/>
  <c r="D24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S21" i="1"/>
  <c r="R21" i="1"/>
  <c r="Q21" i="1"/>
  <c r="P21" i="1"/>
  <c r="O21" i="1"/>
  <c r="N21" i="1"/>
  <c r="M21" i="1"/>
  <c r="L21" i="1"/>
  <c r="K21" i="1"/>
  <c r="J21" i="1"/>
  <c r="I21" i="1"/>
  <c r="F21" i="1"/>
  <c r="E21" i="1"/>
  <c r="D21" i="1"/>
  <c r="T15" i="1"/>
  <c r="N30" i="1"/>
  <c r="I30" i="1"/>
  <c r="F30" i="1"/>
  <c r="H30" i="1"/>
  <c r="O69" i="1"/>
  <c r="O68" i="1"/>
  <c r="O67" i="1"/>
  <c r="O66" i="1"/>
  <c r="O65" i="1"/>
  <c r="O64" i="1"/>
  <c r="O63" i="1"/>
  <c r="O62" i="1"/>
  <c r="O61" i="1"/>
  <c r="O58" i="1"/>
  <c r="I58" i="1"/>
  <c r="J58" i="1" s="1"/>
  <c r="O57" i="1"/>
  <c r="I57" i="1"/>
  <c r="J57" i="1"/>
  <c r="O56" i="1"/>
  <c r="I56" i="1"/>
  <c r="J56" i="1"/>
  <c r="O55" i="1"/>
  <c r="I55" i="1"/>
  <c r="J55" i="1"/>
  <c r="O54" i="1"/>
  <c r="I54" i="1"/>
  <c r="J54" i="1" s="1"/>
  <c r="O52" i="1"/>
  <c r="I52" i="1"/>
  <c r="J52" i="1"/>
  <c r="O51" i="1"/>
  <c r="I51" i="1"/>
  <c r="J51" i="1"/>
  <c r="O50" i="1"/>
  <c r="I50" i="1"/>
  <c r="J50" i="1"/>
  <c r="O49" i="1"/>
  <c r="I49" i="1"/>
  <c r="J49" i="1" s="1"/>
  <c r="O48" i="1"/>
  <c r="I48" i="1"/>
  <c r="J48" i="1"/>
  <c r="O47" i="1"/>
  <c r="I47" i="1"/>
  <c r="J47" i="1"/>
  <c r="O46" i="1"/>
  <c r="I46" i="1"/>
  <c r="J46" i="1"/>
  <c r="O44" i="1"/>
  <c r="I44" i="1"/>
  <c r="J44" i="1" s="1"/>
  <c r="O43" i="1"/>
  <c r="I43" i="1"/>
  <c r="J43" i="1"/>
  <c r="O42" i="1"/>
  <c r="I42" i="1"/>
  <c r="J42" i="1"/>
  <c r="O41" i="1"/>
  <c r="I41" i="1"/>
  <c r="J41" i="1"/>
  <c r="O40" i="1"/>
  <c r="I40" i="1"/>
  <c r="J40" i="1" s="1"/>
  <c r="O39" i="1"/>
  <c r="I39" i="1"/>
  <c r="J39" i="1"/>
  <c r="O38" i="1"/>
  <c r="J38" i="1"/>
  <c r="O37" i="1"/>
  <c r="J37" i="1"/>
  <c r="O36" i="1"/>
  <c r="I36" i="1"/>
  <c r="J36" i="1"/>
  <c r="O35" i="1"/>
  <c r="I35" i="1"/>
  <c r="J35" i="1"/>
  <c r="O34" i="1"/>
  <c r="I34" i="1"/>
  <c r="J34" i="1" s="1"/>
  <c r="T30" i="1" l="1"/>
  <c r="T24" i="1"/>
  <c r="H42" i="1" l="1"/>
  <c r="H36" i="1"/>
  <c r="H46" i="1"/>
  <c r="H40" i="1"/>
  <c r="H34" i="1"/>
  <c r="H49" i="1"/>
  <c r="H48" i="1"/>
  <c r="H39" i="1"/>
  <c r="T22" i="1"/>
  <c r="H45" i="1"/>
  <c r="H37" i="1"/>
  <c r="H41" i="1"/>
  <c r="H35" i="1"/>
  <c r="H43" i="1"/>
  <c r="H38" i="1"/>
  <c r="H44" i="1"/>
  <c r="H47" i="1"/>
</calcChain>
</file>

<file path=xl/sharedStrings.xml><?xml version="1.0" encoding="utf-8"?>
<sst xmlns="http://schemas.openxmlformats.org/spreadsheetml/2006/main" count="217" uniqueCount="132">
  <si>
    <t>区域</t>
  </si>
  <si>
    <t>制单日期</t>
  </si>
  <si>
    <t>制单员</t>
  </si>
  <si>
    <t>订单基本信息</t>
  </si>
  <si>
    <t>生产进度计划</t>
  </si>
  <si>
    <t>重要提示（可多项提示）</t>
    <phoneticPr fontId="4" type="noConversion"/>
  </si>
  <si>
    <t>通知单编号</t>
    <phoneticPr fontId="4" type="noConversion"/>
  </si>
  <si>
    <t>面料</t>
  </si>
  <si>
    <t>合同号</t>
    <phoneticPr fontId="4" type="noConversion"/>
  </si>
  <si>
    <t>面料缩率J</t>
  </si>
  <si>
    <t>水洗工厂</t>
  </si>
  <si>
    <t>分单号(批次)</t>
    <phoneticPr fontId="4" type="noConversion"/>
  </si>
  <si>
    <t>面料缩率W</t>
  </si>
  <si>
    <t>后整工厂</t>
  </si>
  <si>
    <t xml:space="preserve">订单号PO </t>
    <phoneticPr fontId="4" type="noConversion"/>
  </si>
  <si>
    <t>加裁比例%</t>
  </si>
  <si>
    <t>客户/品牌</t>
    <phoneticPr fontId="4" type="noConversion"/>
  </si>
  <si>
    <t>审核记录</t>
  </si>
  <si>
    <t>款号</t>
    <phoneticPr fontId="4" type="noConversion"/>
  </si>
  <si>
    <t>计划审批</t>
    <phoneticPr fontId="4" type="noConversion"/>
  </si>
  <si>
    <t>计划审批日期</t>
  </si>
  <si>
    <t>品名</t>
    <phoneticPr fontId="4" type="noConversion"/>
  </si>
  <si>
    <t>总数</t>
  </si>
  <si>
    <t>采购审批</t>
    <phoneticPr fontId="4" type="noConversion"/>
  </si>
  <si>
    <t>采购审批日期</t>
  </si>
  <si>
    <t>产品分类</t>
  </si>
  <si>
    <t>溢装%</t>
    <phoneticPr fontId="4" type="noConversion"/>
  </si>
  <si>
    <t>技术审批</t>
    <phoneticPr fontId="4" type="noConversion"/>
  </si>
  <si>
    <t>技术审批日期</t>
  </si>
  <si>
    <r>
      <t>短装</t>
    </r>
    <r>
      <rPr>
        <strike/>
        <sz val="12"/>
        <rFont val="宋体"/>
        <charset val="134"/>
      </rPr>
      <t>%</t>
    </r>
    <phoneticPr fontId="4" type="noConversion"/>
  </si>
  <si>
    <t>贸易审批</t>
    <phoneticPr fontId="4" type="noConversion"/>
  </si>
  <si>
    <t>贸易审批日期</t>
  </si>
  <si>
    <t>单价</t>
    <phoneticPr fontId="4" type="noConversion"/>
  </si>
  <si>
    <t>国家</t>
  </si>
  <si>
    <t>颜色</t>
  </si>
  <si>
    <t>内长</t>
  </si>
  <si>
    <t>小计</t>
    <phoneticPr fontId="4" type="noConversion"/>
  </si>
  <si>
    <t>加裁比例%（验证用）</t>
  </si>
  <si>
    <t>合计</t>
    <phoneticPr fontId="4" type="noConversion"/>
  </si>
  <si>
    <t>物料定额计划表</t>
    <phoneticPr fontId="4" type="noConversion"/>
  </si>
  <si>
    <t>原材料分类</t>
    <phoneticPr fontId="4" type="noConversion"/>
  </si>
  <si>
    <t>物料名称</t>
  </si>
  <si>
    <t>规格</t>
  </si>
  <si>
    <t>颜色/代码</t>
    <phoneticPr fontId="4" type="noConversion"/>
  </si>
  <si>
    <t>单位</t>
    <phoneticPr fontId="4" type="noConversion"/>
  </si>
  <si>
    <t>单耗</t>
  </si>
  <si>
    <t>采购数量</t>
    <phoneticPr fontId="4" type="noConversion"/>
  </si>
  <si>
    <t>实际单耗</t>
    <phoneticPr fontId="4" type="noConversion"/>
  </si>
  <si>
    <t>备注</t>
    <phoneticPr fontId="4" type="noConversion"/>
  </si>
  <si>
    <t>供应商</t>
    <phoneticPr fontId="4" type="noConversion"/>
  </si>
  <si>
    <t>下订日期</t>
    <phoneticPr fontId="4" type="noConversion"/>
  </si>
  <si>
    <t>订购人</t>
    <phoneticPr fontId="4" type="noConversion"/>
  </si>
  <si>
    <t>预定交期</t>
    <phoneticPr fontId="4" type="noConversion"/>
  </si>
  <si>
    <t>实际进仓到货期</t>
    <phoneticPr fontId="4" type="noConversion"/>
  </si>
  <si>
    <t>仓库确认实收数量</t>
    <phoneticPr fontId="4" type="noConversion"/>
  </si>
  <si>
    <t>缝纫线</t>
    <phoneticPr fontId="4" type="noConversion"/>
  </si>
  <si>
    <t>洗水工艺</t>
    <phoneticPr fontId="4" type="noConversion"/>
  </si>
  <si>
    <t>定价日期</t>
    <phoneticPr fontId="4" type="noConversion"/>
  </si>
  <si>
    <t>客户</t>
    <phoneticPr fontId="4" type="noConversion"/>
  </si>
  <si>
    <t>原料分类</t>
    <phoneticPr fontId="4" type="noConversion"/>
  </si>
  <si>
    <t>辅料分类</t>
    <phoneticPr fontId="4" type="noConversion"/>
  </si>
  <si>
    <t>辅料编号</t>
  </si>
  <si>
    <t>规格</t>
    <phoneticPr fontId="4" type="noConversion"/>
  </si>
  <si>
    <t>单价</t>
    <phoneticPr fontId="4" type="noConversion"/>
  </si>
  <si>
    <t>常用供应商</t>
    <phoneticPr fontId="4" type="noConversion"/>
  </si>
  <si>
    <t>定价员</t>
    <phoneticPr fontId="4" type="noConversion"/>
  </si>
  <si>
    <r>
      <t>H</t>
    </r>
    <r>
      <rPr>
        <sz val="11"/>
        <color indexed="8"/>
        <rFont val="宋体"/>
        <charset val="134"/>
      </rPr>
      <t>M</t>
    </r>
    <phoneticPr fontId="4" type="noConversion"/>
  </si>
  <si>
    <t>缝纫线</t>
    <phoneticPr fontId="4" type="noConversion"/>
  </si>
  <si>
    <t>TEX90/203</t>
  </si>
  <si>
    <t>A1</t>
    <phoneticPr fontId="4" type="noConversion"/>
  </si>
  <si>
    <t>TEX60/202</t>
  </si>
  <si>
    <t>A1</t>
  </si>
  <si>
    <t>主面料</t>
    <phoneticPr fontId="4" type="noConversion"/>
  </si>
  <si>
    <t>09-090</t>
  </si>
  <si>
    <r>
      <t>M</t>
    </r>
    <r>
      <rPr>
        <sz val="11"/>
        <color indexed="8"/>
        <rFont val="宋体"/>
        <charset val="134"/>
      </rPr>
      <t>1</t>
    </r>
    <phoneticPr fontId="4" type="noConversion"/>
  </si>
  <si>
    <t>配料</t>
    <phoneticPr fontId="4" type="noConversion"/>
  </si>
  <si>
    <t>袋布+加强布</t>
  </si>
  <si>
    <t>门幅-57</t>
  </si>
  <si>
    <r>
      <t>M</t>
    </r>
    <r>
      <rPr>
        <sz val="11"/>
        <color indexed="8"/>
        <rFont val="宋体"/>
        <charset val="134"/>
      </rPr>
      <t>23</t>
    </r>
    <phoneticPr fontId="4" type="noConversion"/>
  </si>
  <si>
    <t>有纺衬</t>
  </si>
  <si>
    <t>门幅-150CM</t>
  </si>
  <si>
    <t>前道辅料</t>
    <phoneticPr fontId="4" type="noConversion"/>
  </si>
  <si>
    <t>主标</t>
  </si>
  <si>
    <t>HM18009</t>
  </si>
  <si>
    <r>
      <t>F</t>
    </r>
    <r>
      <rPr>
        <sz val="11"/>
        <color indexed="8"/>
        <rFont val="宋体"/>
        <charset val="134"/>
      </rPr>
      <t>25</t>
    </r>
    <phoneticPr fontId="4" type="noConversion"/>
  </si>
  <si>
    <t>尺码标</t>
  </si>
  <si>
    <t>HM22035</t>
  </si>
  <si>
    <t>洗标</t>
  </si>
  <si>
    <t>HM30000</t>
  </si>
  <si>
    <r>
      <t>F</t>
    </r>
    <r>
      <rPr>
        <sz val="11"/>
        <color indexed="8"/>
        <rFont val="宋体"/>
        <charset val="134"/>
      </rPr>
      <t>25</t>
    </r>
    <r>
      <rPr>
        <sz val="11"/>
        <color indexed="8"/>
        <rFont val="宋体"/>
        <charset val="134"/>
      </rPr>
      <t/>
    </r>
  </si>
  <si>
    <t>门巾拉链</t>
  </si>
  <si>
    <r>
      <t>Y</t>
    </r>
    <r>
      <rPr>
        <sz val="9"/>
        <color indexed="8"/>
        <rFont val="宋体"/>
        <charset val="134"/>
      </rPr>
      <t>KK580</t>
    </r>
  </si>
  <si>
    <t>F28</t>
    <phoneticPr fontId="4" type="noConversion"/>
  </si>
  <si>
    <t>PP小胶袋</t>
  </si>
  <si>
    <t>8*5CM</t>
    <phoneticPr fontId="4" type="noConversion"/>
  </si>
  <si>
    <r>
      <t>F</t>
    </r>
    <r>
      <rPr>
        <sz val="11"/>
        <color indexed="8"/>
        <rFont val="宋体"/>
        <charset val="134"/>
      </rPr>
      <t>10</t>
    </r>
    <phoneticPr fontId="4" type="noConversion"/>
  </si>
  <si>
    <t>6*5CM</t>
    <phoneticPr fontId="4" type="noConversion"/>
  </si>
  <si>
    <t>后道辅料</t>
    <phoneticPr fontId="4" type="noConversion"/>
  </si>
  <si>
    <t>工字扣</t>
  </si>
  <si>
    <t>27L</t>
  </si>
  <si>
    <r>
      <t>F</t>
    </r>
    <r>
      <rPr>
        <sz val="11"/>
        <color indexed="8"/>
        <rFont val="宋体"/>
        <charset val="134"/>
      </rPr>
      <t>26</t>
    </r>
    <phoneticPr fontId="4" type="noConversion"/>
  </si>
  <si>
    <t>价格牌</t>
  </si>
  <si>
    <t>HM01</t>
  </si>
  <si>
    <t>枪针</t>
  </si>
  <si>
    <t>1″</t>
  </si>
  <si>
    <t>撞钉</t>
  </si>
  <si>
    <r>
      <t>1</t>
    </r>
    <r>
      <rPr>
        <sz val="9"/>
        <rFont val="宋体"/>
        <charset val="134"/>
      </rPr>
      <t>2L</t>
    </r>
  </si>
  <si>
    <t>装箱辅料</t>
    <phoneticPr fontId="4" type="noConversion"/>
  </si>
  <si>
    <t>箱唛</t>
  </si>
  <si>
    <t>PE-HD 02</t>
  </si>
  <si>
    <r>
      <t>F</t>
    </r>
    <r>
      <rPr>
        <sz val="11"/>
        <color indexed="8"/>
        <rFont val="宋体"/>
        <charset val="134"/>
      </rPr>
      <t>30</t>
    </r>
    <phoneticPr fontId="4" type="noConversion"/>
  </si>
  <si>
    <t>箱袋</t>
  </si>
  <si>
    <t>纸箱</t>
  </si>
  <si>
    <r>
      <t>F</t>
    </r>
    <r>
      <rPr>
        <sz val="11"/>
        <color indexed="8"/>
        <rFont val="宋体"/>
        <charset val="134"/>
      </rPr>
      <t>30</t>
    </r>
    <r>
      <rPr>
        <sz val="11"/>
        <color indexed="8"/>
        <rFont val="宋体"/>
        <charset val="134"/>
      </rPr>
      <t/>
    </r>
  </si>
  <si>
    <t>封箱带</t>
  </si>
  <si>
    <t>通知日期</t>
    <phoneticPr fontId="2" type="noConversion"/>
  </si>
  <si>
    <t>尾查期</t>
    <phoneticPr fontId="2" type="noConversion"/>
  </si>
  <si>
    <t>大货洗水流程</t>
    <phoneticPr fontId="2" type="noConversion"/>
  </si>
  <si>
    <t>FOB交期</t>
  </si>
  <si>
    <t>丝带色号</t>
    <phoneticPr fontId="2" type="noConversion"/>
  </si>
  <si>
    <t>缝制工厂</t>
    <phoneticPr fontId="2" type="noConversion"/>
  </si>
  <si>
    <t>缝制起始日期</t>
    <phoneticPr fontId="2" type="noConversion"/>
  </si>
  <si>
    <t>出运方式</t>
    <phoneticPr fontId="2" type="noConversion"/>
  </si>
  <si>
    <t>缝制交货日</t>
    <phoneticPr fontId="2" type="noConversion"/>
  </si>
  <si>
    <t>水洗交货日</t>
    <phoneticPr fontId="2" type="noConversion"/>
  </si>
  <si>
    <t>后整交货日</t>
    <phoneticPr fontId="2" type="noConversion"/>
  </si>
  <si>
    <t>跟单员</t>
    <phoneticPr fontId="2" type="noConversion"/>
  </si>
  <si>
    <t>总数验证</t>
    <phoneticPr fontId="4" type="noConversion"/>
  </si>
  <si>
    <t>合计</t>
    <phoneticPr fontId="4" type="noConversion"/>
  </si>
  <si>
    <t>要求开裁数量明细</t>
    <phoneticPr fontId="2" type="noConversion"/>
  </si>
  <si>
    <t>订单数量数量明细</t>
    <phoneticPr fontId="2" type="noConversion"/>
  </si>
  <si>
    <t>生产计划通知单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</si>
</sst>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/m/d;@"/>
    <numFmt numFmtId="177" formatCode="m/d;@"/>
    <numFmt numFmtId="178" formatCode="0.00_ "/>
    <numFmt numFmtId="179" formatCode="0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trike/>
      <sz val="12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9"/>
      <color indexed="8"/>
      <name val="宋体"/>
      <charset val="134"/>
    </font>
    <font>
      <sz val="9"/>
      <color indexed="8"/>
      <name val="华文中宋"/>
      <charset val="134"/>
    </font>
    <font>
      <sz val="9"/>
      <name val="Tahoma"/>
      <family val="2"/>
    </font>
    <font>
      <b/>
      <sz val="10"/>
      <name val="宋体"/>
      <charset val="134"/>
    </font>
    <font>
      <b/>
      <sz val="12"/>
      <color indexed="8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b/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b/>
      <i/>
      <sz val="12"/>
      <color theme="1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</cellStyleXfs>
  <cellXfs count="223">
    <xf numFmtId="0" fontId="0" fillId="0" borderId="0" xfId="0">
      <alignment vertical="center"/>
    </xf>
    <xf numFmtId="0" fontId="0" fillId="0" borderId="0" xfId="0" applyFill="1" applyBorder="1" applyProtection="1">
      <alignment vertical="center"/>
    </xf>
    <xf numFmtId="0" fontId="3" fillId="0" borderId="0" xfId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horizontal="left" vertical="center" shrinkToFit="1"/>
    </xf>
    <xf numFmtId="176" fontId="0" fillId="0" borderId="0" xfId="0" applyNumberFormat="1" applyFill="1" applyBorder="1" applyProtection="1">
      <alignment vertical="center"/>
    </xf>
    <xf numFmtId="0" fontId="16" fillId="0" borderId="0" xfId="0" applyFont="1" applyFill="1" applyBorder="1" applyProtection="1">
      <alignment vertical="center"/>
    </xf>
    <xf numFmtId="0" fontId="17" fillId="0" borderId="1" xfId="1" applyFont="1" applyFill="1" applyBorder="1" applyAlignment="1" applyProtection="1">
      <alignment horizontal="center" vertical="center" shrinkToFit="1"/>
    </xf>
    <xf numFmtId="0" fontId="3" fillId="0" borderId="2" xfId="1" applyFont="1" applyFill="1" applyBorder="1" applyAlignment="1" applyProtection="1">
      <alignment vertical="center"/>
    </xf>
    <xf numFmtId="0" fontId="3" fillId="0" borderId="3" xfId="1" applyFont="1" applyFill="1" applyBorder="1" applyAlignment="1" applyProtection="1">
      <alignment vertical="center"/>
    </xf>
    <xf numFmtId="0" fontId="8" fillId="0" borderId="3" xfId="3" applyFont="1" applyFill="1" applyBorder="1" applyAlignment="1" applyProtection="1">
      <alignment horizontal="center" vertical="center"/>
      <protection locked="0"/>
    </xf>
    <xf numFmtId="0" fontId="8" fillId="0" borderId="4" xfId="3" applyFont="1" applyFill="1" applyBorder="1" applyAlignment="1" applyProtection="1">
      <alignment horizontal="center" vertical="center"/>
      <protection locked="0"/>
    </xf>
    <xf numFmtId="0" fontId="18" fillId="0" borderId="5" xfId="1" applyFont="1" applyFill="1" applyBorder="1" applyAlignment="1" applyProtection="1">
      <alignment horizontal="center" vertical="center"/>
    </xf>
    <xf numFmtId="176" fontId="19" fillId="0" borderId="0" xfId="0" applyNumberFormat="1" applyFont="1" applyFill="1" applyBorder="1" applyProtection="1">
      <alignment vertical="center"/>
    </xf>
    <xf numFmtId="0" fontId="19" fillId="0" borderId="0" xfId="0" applyFont="1" applyFill="1" applyBorder="1" applyProtection="1">
      <alignment vertical="center"/>
    </xf>
    <xf numFmtId="0" fontId="5" fillId="2" borderId="6" xfId="1" applyFont="1" applyFill="1" applyBorder="1" applyAlignment="1" applyProtection="1">
      <alignment vertical="center"/>
      <protection locked="0"/>
    </xf>
    <xf numFmtId="0" fontId="5" fillId="2" borderId="7" xfId="3" applyFont="1" applyFill="1" applyBorder="1" applyAlignment="1" applyProtection="1">
      <alignment horizontal="center" vertical="center"/>
      <protection locked="0"/>
    </xf>
    <xf numFmtId="0" fontId="20" fillId="2" borderId="7" xfId="1" applyFont="1" applyFill="1" applyBorder="1" applyAlignment="1" applyProtection="1">
      <alignment vertical="center"/>
      <protection locked="0"/>
    </xf>
    <xf numFmtId="0" fontId="20" fillId="2" borderId="8" xfId="1" applyFont="1" applyFill="1" applyBorder="1" applyAlignment="1" applyProtection="1">
      <alignment vertical="center"/>
      <protection locked="0"/>
    </xf>
    <xf numFmtId="179" fontId="18" fillId="0" borderId="9" xfId="1" applyNumberFormat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vertical="center"/>
      <protection locked="0"/>
    </xf>
    <xf numFmtId="0" fontId="5" fillId="2" borderId="11" xfId="3" applyFont="1" applyFill="1" applyBorder="1" applyAlignment="1" applyProtection="1">
      <alignment horizontal="center" vertical="center"/>
      <protection locked="0"/>
    </xf>
    <xf numFmtId="0" fontId="20" fillId="2" borderId="11" xfId="1" applyFont="1" applyFill="1" applyBorder="1" applyAlignment="1" applyProtection="1">
      <alignment vertical="center"/>
      <protection locked="0"/>
    </xf>
    <xf numFmtId="0" fontId="20" fillId="2" borderId="12" xfId="1" applyFont="1" applyFill="1" applyBorder="1" applyAlignment="1" applyProtection="1">
      <alignment vertical="center"/>
      <protection locked="0"/>
    </xf>
    <xf numFmtId="179" fontId="18" fillId="0" borderId="13" xfId="1" applyNumberFormat="1" applyFont="1" applyFill="1" applyBorder="1" applyAlignment="1" applyProtection="1">
      <alignment horizontal="center" vertical="center"/>
    </xf>
    <xf numFmtId="0" fontId="20" fillId="2" borderId="14" xfId="1" applyFont="1" applyFill="1" applyBorder="1" applyAlignment="1" applyProtection="1">
      <alignment vertical="center"/>
      <protection locked="0"/>
    </xf>
    <xf numFmtId="0" fontId="5" fillId="2" borderId="15" xfId="3" applyFont="1" applyFill="1" applyBorder="1" applyAlignment="1" applyProtection="1">
      <alignment horizontal="center" vertical="center"/>
      <protection locked="0"/>
    </xf>
    <xf numFmtId="0" fontId="20" fillId="2" borderId="15" xfId="1" applyFont="1" applyFill="1" applyBorder="1" applyAlignment="1" applyProtection="1">
      <alignment vertical="center"/>
      <protection locked="0"/>
    </xf>
    <xf numFmtId="0" fontId="20" fillId="2" borderId="16" xfId="1" applyFont="1" applyFill="1" applyBorder="1" applyAlignment="1" applyProtection="1">
      <alignment vertical="center"/>
      <protection locked="0"/>
    </xf>
    <xf numFmtId="0" fontId="18" fillId="0" borderId="17" xfId="1" applyFont="1" applyFill="1" applyBorder="1" applyAlignment="1" applyProtection="1">
      <alignment horizontal="center" vertical="center"/>
    </xf>
    <xf numFmtId="179" fontId="20" fillId="0" borderId="18" xfId="1" applyNumberFormat="1" applyFont="1" applyFill="1" applyBorder="1" applyAlignment="1" applyProtection="1">
      <alignment vertical="center"/>
    </xf>
    <xf numFmtId="179" fontId="20" fillId="0" borderId="3" xfId="1" applyNumberFormat="1" applyFont="1" applyFill="1" applyBorder="1" applyAlignment="1" applyProtection="1">
      <alignment vertical="center"/>
    </xf>
    <xf numFmtId="179" fontId="20" fillId="0" borderId="4" xfId="1" applyNumberFormat="1" applyFont="1" applyFill="1" applyBorder="1" applyAlignment="1" applyProtection="1">
      <alignment vertical="center"/>
    </xf>
    <xf numFmtId="179" fontId="18" fillId="0" borderId="5" xfId="1" applyNumberFormat="1" applyFont="1" applyFill="1" applyBorder="1" applyAlignment="1" applyProtection="1">
      <alignment horizontal="center" vertical="center"/>
    </xf>
    <xf numFmtId="178" fontId="17" fillId="0" borderId="5" xfId="1" applyNumberFormat="1" applyFont="1" applyFill="1" applyBorder="1" applyAlignment="1" applyProtection="1">
      <alignment horizontal="center" vertical="center" shrinkToFit="1"/>
    </xf>
    <xf numFmtId="0" fontId="3" fillId="0" borderId="4" xfId="1" applyFont="1" applyFill="1" applyBorder="1" applyAlignment="1" applyProtection="1">
      <alignment vertical="center"/>
    </xf>
    <xf numFmtId="0" fontId="1" fillId="0" borderId="19" xfId="1" applyFill="1" applyBorder="1" applyAlignment="1" applyProtection="1">
      <alignment vertical="center"/>
    </xf>
    <xf numFmtId="0" fontId="1" fillId="0" borderId="20" xfId="1" applyFill="1" applyBorder="1" applyAlignment="1" applyProtection="1">
      <alignment vertical="center"/>
    </xf>
    <xf numFmtId="179" fontId="0" fillId="0" borderId="20" xfId="0" applyNumberFormat="1" applyFill="1" applyBorder="1" applyProtection="1">
      <alignment vertical="center"/>
    </xf>
    <xf numFmtId="179" fontId="3" fillId="0" borderId="21" xfId="1" applyNumberFormat="1" applyFont="1" applyFill="1" applyBorder="1" applyAlignment="1" applyProtection="1">
      <alignment horizontal="center" vertical="center"/>
    </xf>
    <xf numFmtId="0" fontId="1" fillId="0" borderId="10" xfId="1" applyFill="1" applyBorder="1" applyAlignment="1" applyProtection="1">
      <alignment vertical="center"/>
    </xf>
    <xf numFmtId="0" fontId="1" fillId="0" borderId="11" xfId="1" applyFill="1" applyBorder="1" applyAlignment="1" applyProtection="1">
      <alignment vertical="center"/>
    </xf>
    <xf numFmtId="179" fontId="0" fillId="0" borderId="11" xfId="0" applyNumberFormat="1" applyFill="1" applyBorder="1" applyProtection="1">
      <alignment vertical="center"/>
    </xf>
    <xf numFmtId="179" fontId="3" fillId="0" borderId="22" xfId="1" applyNumberFormat="1" applyFont="1" applyFill="1" applyBorder="1" applyAlignment="1" applyProtection="1">
      <alignment horizontal="center" vertical="center"/>
    </xf>
    <xf numFmtId="0" fontId="1" fillId="0" borderId="23" xfId="1" applyFill="1" applyBorder="1" applyAlignment="1" applyProtection="1">
      <alignment vertical="center"/>
    </xf>
    <xf numFmtId="0" fontId="1" fillId="0" borderId="24" xfId="1" applyFill="1" applyBorder="1" applyAlignment="1" applyProtection="1">
      <alignment vertical="center"/>
    </xf>
    <xf numFmtId="179" fontId="0" fillId="0" borderId="24" xfId="0" applyNumberFormat="1" applyFill="1" applyBorder="1" applyProtection="1">
      <alignment vertical="center"/>
    </xf>
    <xf numFmtId="179" fontId="3" fillId="0" borderId="25" xfId="1" applyNumberFormat="1" applyFont="1" applyFill="1" applyBorder="1" applyAlignment="1" applyProtection="1">
      <alignment horizontal="center" vertical="center"/>
    </xf>
    <xf numFmtId="179" fontId="1" fillId="0" borderId="26" xfId="1" applyNumberFormat="1" applyFill="1" applyBorder="1" applyAlignment="1" applyProtection="1">
      <alignment vertical="center"/>
    </xf>
    <xf numFmtId="179" fontId="1" fillId="0" borderId="27" xfId="1" applyNumberFormat="1" applyFill="1" applyBorder="1" applyAlignment="1" applyProtection="1">
      <alignment vertical="center"/>
    </xf>
    <xf numFmtId="179" fontId="1" fillId="0" borderId="28" xfId="1" applyNumberFormat="1" applyFill="1" applyBorder="1" applyAlignment="1" applyProtection="1">
      <alignment vertical="center"/>
    </xf>
    <xf numFmtId="179" fontId="3" fillId="0" borderId="29" xfId="1" applyNumberFormat="1" applyFont="1" applyFill="1" applyBorder="1" applyAlignment="1" applyProtection="1">
      <alignment horizontal="center" vertical="center"/>
    </xf>
    <xf numFmtId="0" fontId="1" fillId="0" borderId="0" xfId="1" applyFont="1" applyFill="1" applyBorder="1" applyAlignment="1" applyProtection="1">
      <alignment horizontal="center" vertical="center"/>
    </xf>
    <xf numFmtId="179" fontId="1" fillId="0" borderId="0" xfId="1" applyNumberFormat="1" applyFill="1" applyBorder="1" applyAlignment="1" applyProtection="1">
      <alignment vertical="center"/>
    </xf>
    <xf numFmtId="179" fontId="1" fillId="0" borderId="30" xfId="1" applyNumberFormat="1" applyFill="1" applyBorder="1" applyAlignment="1" applyProtection="1">
      <alignment vertical="center"/>
    </xf>
    <xf numFmtId="179" fontId="1" fillId="0" borderId="31" xfId="1" applyNumberFormat="1" applyFill="1" applyBorder="1" applyAlignment="1" applyProtection="1">
      <alignment vertical="center"/>
    </xf>
    <xf numFmtId="179" fontId="3" fillId="0" borderId="0" xfId="1" applyNumberFormat="1" applyFont="1" applyFill="1" applyBorder="1" applyAlignment="1" applyProtection="1">
      <alignment horizontal="center" vertical="center"/>
    </xf>
    <xf numFmtId="0" fontId="19" fillId="3" borderId="11" xfId="0" applyFont="1" applyFill="1" applyBorder="1" applyAlignment="1" applyProtection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8" fillId="3" borderId="11" xfId="3" applyFont="1" applyFill="1" applyBorder="1" applyAlignment="1" applyProtection="1">
      <alignment horizontal="center" vertical="center" wrapText="1"/>
    </xf>
    <xf numFmtId="0" fontId="8" fillId="2" borderId="11" xfId="3" applyFont="1" applyFill="1" applyBorder="1" applyAlignment="1" applyProtection="1">
      <alignment horizontal="center" vertical="center" wrapText="1"/>
    </xf>
    <xf numFmtId="0" fontId="8" fillId="0" borderId="11" xfId="3" applyFont="1" applyFill="1" applyBorder="1" applyAlignment="1" applyProtection="1">
      <alignment horizontal="center" vertical="center" wrapText="1"/>
    </xf>
    <xf numFmtId="0" fontId="19" fillId="0" borderId="0" xfId="0" applyFont="1" applyFill="1" applyBorder="1" applyAlignment="1" applyProtection="1">
      <alignment horizontal="center" vertical="center" wrapText="1"/>
    </xf>
    <xf numFmtId="0" fontId="0" fillId="3" borderId="11" xfId="0" applyFont="1" applyFill="1" applyBorder="1" applyProtection="1">
      <alignment vertical="center"/>
    </xf>
    <xf numFmtId="0" fontId="4" fillId="3" borderId="11" xfId="1" applyFont="1" applyFill="1" applyBorder="1" applyAlignment="1" applyProtection="1">
      <alignment horizontal="center" vertical="center"/>
      <protection locked="0"/>
    </xf>
    <xf numFmtId="179" fontId="4" fillId="0" borderId="11" xfId="1" applyNumberFormat="1" applyFont="1" applyFill="1" applyBorder="1" applyAlignment="1" applyProtection="1">
      <alignment horizontal="center" vertical="center"/>
    </xf>
    <xf numFmtId="0" fontId="0" fillId="0" borderId="11" xfId="0" applyFill="1" applyBorder="1" applyProtection="1">
      <alignment vertical="center"/>
    </xf>
    <xf numFmtId="0" fontId="0" fillId="0" borderId="11" xfId="0" applyFill="1" applyBorder="1" applyAlignment="1" applyProtection="1">
      <alignment vertical="center"/>
    </xf>
    <xf numFmtId="177" fontId="0" fillId="0" borderId="11" xfId="0" applyNumberFormat="1" applyFill="1" applyBorder="1" applyProtection="1">
      <alignment vertical="center"/>
      <protection locked="0"/>
    </xf>
    <xf numFmtId="0" fontId="0" fillId="0" borderId="11" xfId="0" applyFill="1" applyBorder="1" applyAlignment="1" applyProtection="1">
      <alignment vertical="center"/>
      <protection locked="0"/>
    </xf>
    <xf numFmtId="0" fontId="10" fillId="3" borderId="11" xfId="3" applyFont="1" applyFill="1" applyBorder="1" applyAlignment="1" applyProtection="1">
      <alignment horizontal="center" vertical="center" wrapText="1"/>
      <protection locked="0"/>
    </xf>
    <xf numFmtId="0" fontId="10" fillId="3" borderId="11" xfId="2" applyFont="1" applyFill="1" applyBorder="1" applyAlignment="1" applyProtection="1">
      <alignment horizontal="center" vertical="center"/>
      <protection locked="0"/>
    </xf>
    <xf numFmtId="0" fontId="10" fillId="3" borderId="11" xfId="3" applyFont="1" applyFill="1" applyBorder="1" applyAlignment="1" applyProtection="1">
      <alignment horizontal="center" vertical="center"/>
      <protection locked="0"/>
    </xf>
    <xf numFmtId="0" fontId="0" fillId="3" borderId="11" xfId="0" applyFill="1" applyBorder="1" applyProtection="1">
      <alignment vertical="center"/>
    </xf>
    <xf numFmtId="0" fontId="10" fillId="3" borderId="11" xfId="2" applyFont="1" applyFill="1" applyBorder="1" applyAlignment="1" applyProtection="1">
      <alignment vertical="center"/>
      <protection locked="0"/>
    </xf>
    <xf numFmtId="0" fontId="10" fillId="3" borderId="11" xfId="3" applyFont="1" applyFill="1" applyBorder="1" applyAlignment="1" applyProtection="1">
      <alignment horizontal="center" vertical="center" shrinkToFit="1"/>
      <protection locked="0"/>
    </xf>
    <xf numFmtId="0" fontId="4" fillId="3" borderId="11" xfId="1" applyFont="1" applyFill="1" applyBorder="1" applyAlignment="1" applyProtection="1">
      <alignment vertical="center"/>
      <protection locked="0"/>
    </xf>
    <xf numFmtId="0" fontId="10" fillId="3" borderId="11" xfId="3" applyFont="1" applyFill="1" applyBorder="1" applyAlignment="1" applyProtection="1">
      <alignment vertical="center"/>
      <protection locked="0"/>
    </xf>
    <xf numFmtId="0" fontId="4" fillId="3" borderId="11" xfId="1" applyFont="1" applyFill="1" applyBorder="1" applyAlignment="1" applyProtection="1">
      <alignment vertical="center" shrinkToFit="1"/>
      <protection locked="0"/>
    </xf>
    <xf numFmtId="0" fontId="10" fillId="3" borderId="11" xfId="3" applyFont="1" applyFill="1" applyBorder="1" applyAlignment="1" applyProtection="1">
      <alignment vertical="center" wrapText="1"/>
      <protection locked="0"/>
    </xf>
    <xf numFmtId="0" fontId="10" fillId="3" borderId="11" xfId="2" applyFont="1" applyFill="1" applyBorder="1" applyAlignment="1" applyProtection="1">
      <alignment vertical="center" wrapText="1"/>
      <protection locked="0"/>
    </xf>
    <xf numFmtId="179" fontId="10" fillId="0" borderId="11" xfId="3" applyNumberFormat="1" applyFont="1" applyFill="1" applyBorder="1" applyAlignment="1" applyProtection="1">
      <alignment horizontal="center" vertical="center"/>
    </xf>
    <xf numFmtId="0" fontId="4" fillId="0" borderId="11" xfId="1" applyFont="1" applyFill="1" applyBorder="1" applyAlignment="1" applyProtection="1">
      <alignment horizontal="center" vertical="center"/>
    </xf>
    <xf numFmtId="0" fontId="0" fillId="3" borderId="11" xfId="0" applyFill="1" applyBorder="1" applyProtection="1">
      <alignment vertical="center"/>
      <protection locked="0"/>
    </xf>
    <xf numFmtId="179" fontId="10" fillId="0" borderId="11" xfId="3" applyNumberFormat="1" applyFont="1" applyFill="1" applyBorder="1" applyAlignment="1" applyProtection="1">
      <alignment horizontal="center" vertical="center" shrinkToFit="1"/>
    </xf>
    <xf numFmtId="0" fontId="10" fillId="3" borderId="11" xfId="3" applyFont="1" applyFill="1" applyBorder="1" applyAlignment="1" applyProtection="1">
      <alignment vertical="center" shrinkToFit="1"/>
      <protection locked="0"/>
    </xf>
    <xf numFmtId="0" fontId="10" fillId="3" borderId="11" xfId="3" applyFont="1" applyFill="1" applyBorder="1" applyAlignment="1" applyProtection="1">
      <alignment horizontal="center" vertical="center" wrapText="1" shrinkToFit="1"/>
      <protection locked="0"/>
    </xf>
    <xf numFmtId="0" fontId="12" fillId="3" borderId="11" xfId="1" applyFont="1" applyFill="1" applyBorder="1" applyAlignment="1" applyProtection="1">
      <alignment horizontal="center" vertical="center"/>
      <protection locked="0"/>
    </xf>
    <xf numFmtId="176" fontId="13" fillId="0" borderId="0" xfId="0" applyNumberFormat="1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49" fontId="13" fillId="0" borderId="0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0" fontId="11" fillId="0" borderId="0" xfId="3" applyFont="1" applyFill="1" applyBorder="1" applyAlignment="1">
      <alignment horizontal="center" vertical="center" wrapText="1" shrinkToFit="1"/>
    </xf>
    <xf numFmtId="0" fontId="11" fillId="4" borderId="0" xfId="3" applyFont="1" applyFill="1" applyBorder="1" applyAlignment="1">
      <alignment horizontal="center" vertical="center" wrapText="1" shrinkToFit="1"/>
    </xf>
    <xf numFmtId="0" fontId="0" fillId="0" borderId="0" xfId="0" applyFont="1" applyFill="1" applyBorder="1" applyAlignment="1" applyProtection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0" fillId="0" borderId="0" xfId="3" applyFont="1" applyFill="1" applyBorder="1" applyAlignment="1">
      <alignment horizontal="center" vertical="center" wrapText="1"/>
    </xf>
    <xf numFmtId="0" fontId="10" fillId="3" borderId="0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 vertical="center"/>
    </xf>
    <xf numFmtId="0" fontId="10" fillId="0" borderId="0" xfId="3" applyFont="1" applyFill="1" applyBorder="1" applyAlignment="1">
      <alignment horizontal="center" vertical="center" shrinkToFit="1"/>
    </xf>
    <xf numFmtId="0" fontId="10" fillId="0" borderId="0" xfId="3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 shrinkToFit="1"/>
    </xf>
    <xf numFmtId="0" fontId="10" fillId="0" borderId="0" xfId="2" applyFont="1" applyFill="1" applyBorder="1" applyAlignment="1">
      <alignment horizontal="center" vertical="center" wrapText="1"/>
    </xf>
    <xf numFmtId="176" fontId="16" fillId="2" borderId="8" xfId="0" applyNumberFormat="1" applyFont="1" applyFill="1" applyBorder="1" applyProtection="1">
      <alignment vertical="center"/>
      <protection locked="0"/>
    </xf>
    <xf numFmtId="176" fontId="16" fillId="2" borderId="12" xfId="0" applyNumberFormat="1" applyFont="1" applyFill="1" applyBorder="1" applyProtection="1">
      <alignment vertical="center"/>
      <protection locked="0"/>
    </xf>
    <xf numFmtId="176" fontId="16" fillId="2" borderId="32" xfId="0" applyNumberFormat="1" applyFont="1" applyFill="1" applyBorder="1" applyProtection="1">
      <alignment vertical="center"/>
      <protection locked="0"/>
    </xf>
    <xf numFmtId="0" fontId="6" fillId="5" borderId="2" xfId="3" applyFont="1" applyFill="1" applyBorder="1" applyAlignment="1" applyProtection="1">
      <alignment vertical="center"/>
      <protection locked="0"/>
    </xf>
    <xf numFmtId="0" fontId="6" fillId="5" borderId="3" xfId="3" applyFont="1" applyFill="1" applyBorder="1" applyAlignment="1" applyProtection="1">
      <alignment vertical="center"/>
      <protection locked="0"/>
    </xf>
    <xf numFmtId="0" fontId="21" fillId="0" borderId="0" xfId="0" applyFont="1" applyFill="1" applyBorder="1" applyProtection="1">
      <alignment vertical="center"/>
    </xf>
    <xf numFmtId="176" fontId="21" fillId="0" borderId="0" xfId="0" applyNumberFormat="1" applyFont="1" applyFill="1" applyBorder="1" applyProtection="1">
      <alignment vertical="center"/>
    </xf>
    <xf numFmtId="176" fontId="16" fillId="2" borderId="33" xfId="0" applyNumberFormat="1" applyFont="1" applyFill="1" applyBorder="1" applyProtection="1">
      <alignment vertical="center"/>
      <protection locked="0"/>
    </xf>
    <xf numFmtId="176" fontId="16" fillId="2" borderId="34" xfId="0" applyNumberFormat="1" applyFont="1" applyFill="1" applyBorder="1" applyProtection="1">
      <alignment vertical="center"/>
      <protection locked="0"/>
    </xf>
    <xf numFmtId="0" fontId="1" fillId="0" borderId="0" xfId="1" applyFont="1" applyFill="1" applyBorder="1" applyAlignment="1" applyProtection="1">
      <alignment vertical="center" shrinkToFit="1"/>
    </xf>
    <xf numFmtId="0" fontId="21" fillId="0" borderId="0" xfId="0" applyFont="1" applyFill="1" applyBorder="1" applyAlignment="1" applyProtection="1">
      <alignment vertical="center"/>
    </xf>
    <xf numFmtId="0" fontId="21" fillId="0" borderId="15" xfId="0" applyFont="1" applyFill="1" applyBorder="1" applyAlignment="1" applyProtection="1">
      <alignment horizontal="left" vertical="center"/>
      <protection locked="0"/>
    </xf>
    <xf numFmtId="0" fontId="21" fillId="0" borderId="15" xfId="0" applyFont="1" applyFill="1" applyBorder="1" applyAlignment="1" applyProtection="1">
      <alignment horizontal="center" vertical="center"/>
    </xf>
    <xf numFmtId="0" fontId="21" fillId="0" borderId="15" xfId="0" applyFont="1" applyFill="1" applyBorder="1" applyProtection="1">
      <alignment vertical="center"/>
    </xf>
    <xf numFmtId="0" fontId="0" fillId="0" borderId="12" xfId="0" applyFont="1" applyBorder="1" applyAlignment="1">
      <alignment horizontal="center" vertical="center"/>
    </xf>
    <xf numFmtId="179" fontId="9" fillId="0" borderId="7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79" fontId="15" fillId="0" borderId="7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6" fillId="2" borderId="36" xfId="0" applyNumberFormat="1" applyFont="1" applyFill="1" applyBorder="1" applyProtection="1">
      <alignment vertical="center"/>
      <protection locked="0"/>
    </xf>
    <xf numFmtId="14" fontId="16" fillId="3" borderId="12" xfId="0" applyNumberFormat="1" applyFont="1" applyFill="1" applyBorder="1" applyProtection="1">
      <alignment vertical="center"/>
      <protection locked="0"/>
    </xf>
    <xf numFmtId="0" fontId="1" fillId="0" borderId="23" xfId="1" applyFont="1" applyFill="1" applyBorder="1" applyAlignment="1" applyProtection="1">
      <alignment horizontal="center" vertical="center" shrinkToFit="1"/>
    </xf>
    <xf numFmtId="0" fontId="1" fillId="0" borderId="24" xfId="1" applyFont="1" applyFill="1" applyBorder="1" applyAlignment="1" applyProtection="1">
      <alignment horizontal="center" vertical="center" shrinkToFit="1"/>
    </xf>
    <xf numFmtId="0" fontId="16" fillId="2" borderId="41" xfId="0" applyFont="1" applyFill="1" applyBorder="1" applyAlignment="1" applyProtection="1">
      <alignment horizontal="center" vertical="center"/>
    </xf>
    <xf numFmtId="0" fontId="16" fillId="2" borderId="42" xfId="0" applyFont="1" applyFill="1" applyBorder="1" applyAlignment="1" applyProtection="1">
      <alignment horizontal="center" vertical="center"/>
    </xf>
    <xf numFmtId="0" fontId="1" fillId="0" borderId="19" xfId="1" applyFont="1" applyFill="1" applyBorder="1" applyAlignment="1" applyProtection="1">
      <alignment horizontal="center" vertical="center" shrinkToFit="1"/>
    </xf>
    <xf numFmtId="0" fontId="1" fillId="0" borderId="20" xfId="1" applyFont="1" applyFill="1" applyBorder="1" applyAlignment="1" applyProtection="1">
      <alignment horizontal="center" vertical="center" shrinkToFit="1"/>
    </xf>
    <xf numFmtId="0" fontId="1" fillId="0" borderId="10" xfId="1" applyFont="1" applyFill="1" applyBorder="1" applyAlignment="1" applyProtection="1">
      <alignment horizontal="center" vertical="center" shrinkToFit="1"/>
    </xf>
    <xf numFmtId="0" fontId="1" fillId="0" borderId="11" xfId="1" applyFont="1" applyFill="1" applyBorder="1" applyAlignment="1" applyProtection="1">
      <alignment horizontal="center" vertical="center" shrinkToFit="1"/>
    </xf>
    <xf numFmtId="0" fontId="23" fillId="2" borderId="20" xfId="1" applyFont="1" applyFill="1" applyBorder="1" applyAlignment="1" applyProtection="1">
      <alignment horizontal="center" vertical="center"/>
      <protection locked="0"/>
    </xf>
    <xf numFmtId="0" fontId="23" fillId="2" borderId="11" xfId="1" applyFont="1" applyFill="1" applyBorder="1" applyAlignment="1" applyProtection="1">
      <alignment horizontal="center" vertical="center"/>
      <protection locked="0"/>
    </xf>
    <xf numFmtId="0" fontId="11" fillId="3" borderId="12" xfId="3" applyFont="1" applyFill="1" applyBorder="1" applyAlignment="1" applyProtection="1">
      <alignment horizontal="center" vertical="center" wrapText="1" shrinkToFit="1"/>
      <protection locked="0"/>
    </xf>
    <xf numFmtId="0" fontId="11" fillId="3" borderId="47" xfId="3" applyFont="1" applyFill="1" applyBorder="1" applyAlignment="1" applyProtection="1">
      <alignment horizontal="center" vertical="center" wrapText="1" shrinkToFit="1"/>
      <protection locked="0"/>
    </xf>
    <xf numFmtId="0" fontId="1" fillId="3" borderId="54" xfId="1" applyFont="1" applyFill="1" applyBorder="1" applyAlignment="1" applyProtection="1">
      <alignment horizontal="center" vertical="center" shrinkToFit="1"/>
      <protection locked="0"/>
    </xf>
    <xf numFmtId="0" fontId="1" fillId="3" borderId="53" xfId="1" applyFont="1" applyFill="1" applyBorder="1" applyAlignment="1" applyProtection="1">
      <alignment horizontal="center" vertical="center" shrinkToFit="1"/>
      <protection locked="0"/>
    </xf>
    <xf numFmtId="0" fontId="10" fillId="0" borderId="11" xfId="3" applyFont="1" applyFill="1" applyBorder="1" applyAlignment="1" applyProtection="1">
      <alignment horizontal="center" vertical="top" wrapText="1" shrinkToFit="1"/>
      <protection locked="0"/>
    </xf>
    <xf numFmtId="0" fontId="8" fillId="3" borderId="11" xfId="3" applyFont="1" applyFill="1" applyBorder="1" applyAlignment="1" applyProtection="1">
      <alignment horizontal="center" vertical="center"/>
    </xf>
    <xf numFmtId="0" fontId="10" fillId="0" borderId="12" xfId="3" applyFont="1" applyFill="1" applyBorder="1" applyAlignment="1" applyProtection="1">
      <alignment horizontal="center" vertical="top" wrapText="1" shrinkToFit="1"/>
      <protection locked="0"/>
    </xf>
    <xf numFmtId="0" fontId="10" fillId="0" borderId="46" xfId="3" applyFont="1" applyFill="1" applyBorder="1" applyAlignment="1" applyProtection="1">
      <alignment horizontal="center" vertical="top" wrapText="1" shrinkToFit="1"/>
      <protection locked="0"/>
    </xf>
    <xf numFmtId="0" fontId="10" fillId="0" borderId="47" xfId="3" applyFont="1" applyFill="1" applyBorder="1" applyAlignment="1" applyProtection="1">
      <alignment horizontal="center" vertical="top" wrapText="1" shrinkToFit="1"/>
      <protection locked="0"/>
    </xf>
    <xf numFmtId="0" fontId="0" fillId="0" borderId="12" xfId="0" applyFont="1" applyFill="1" applyBorder="1" applyAlignment="1" applyProtection="1">
      <alignment horizontal="center" vertical="center"/>
    </xf>
    <xf numFmtId="0" fontId="0" fillId="0" borderId="46" xfId="0" applyFill="1" applyBorder="1" applyAlignment="1" applyProtection="1">
      <alignment horizontal="center" vertical="center"/>
    </xf>
    <xf numFmtId="0" fontId="0" fillId="0" borderId="47" xfId="0" applyFill="1" applyBorder="1" applyAlignment="1" applyProtection="1">
      <alignment horizontal="center" vertical="center"/>
    </xf>
    <xf numFmtId="0" fontId="8" fillId="3" borderId="11" xfId="3" applyFont="1" applyFill="1" applyBorder="1" applyAlignment="1" applyProtection="1">
      <alignment horizontal="center" vertical="center" wrapText="1"/>
    </xf>
    <xf numFmtId="0" fontId="8" fillId="2" borderId="12" xfId="3" applyFont="1" applyFill="1" applyBorder="1" applyAlignment="1" applyProtection="1">
      <alignment horizontal="center" vertical="center" wrapText="1"/>
    </xf>
    <xf numFmtId="0" fontId="8" fillId="2" borderId="46" xfId="3" applyFont="1" applyFill="1" applyBorder="1" applyAlignment="1" applyProtection="1">
      <alignment horizontal="center" vertical="center" wrapText="1"/>
    </xf>
    <xf numFmtId="0" fontId="8" fillId="2" borderId="47" xfId="3" applyFont="1" applyFill="1" applyBorder="1" applyAlignment="1" applyProtection="1">
      <alignment horizontal="center" vertical="center" wrapText="1"/>
    </xf>
    <xf numFmtId="0" fontId="8" fillId="0" borderId="31" xfId="3" applyFont="1" applyFill="1" applyBorder="1" applyAlignment="1" applyProtection="1">
      <alignment horizontal="center" vertical="center"/>
    </xf>
    <xf numFmtId="0" fontId="8" fillId="0" borderId="0" xfId="3" applyFont="1" applyFill="1" applyBorder="1" applyAlignment="1" applyProtection="1">
      <alignment horizontal="center" vertical="center"/>
    </xf>
    <xf numFmtId="0" fontId="8" fillId="0" borderId="35" xfId="3" applyFont="1" applyFill="1" applyBorder="1" applyAlignment="1" applyProtection="1">
      <alignment horizontal="center" vertical="center"/>
    </xf>
    <xf numFmtId="0" fontId="6" fillId="2" borderId="14" xfId="3" applyFont="1" applyFill="1" applyBorder="1" applyAlignment="1" applyProtection="1">
      <alignment horizontal="center" vertical="center"/>
      <protection locked="0"/>
    </xf>
    <xf numFmtId="0" fontId="6" fillId="2" borderId="15" xfId="3" applyFont="1" applyFill="1" applyBorder="1" applyAlignment="1" applyProtection="1">
      <alignment horizontal="center" vertical="center"/>
      <protection locked="0"/>
    </xf>
    <xf numFmtId="0" fontId="6" fillId="2" borderId="45" xfId="3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 applyProtection="1">
      <alignment horizontal="center" vertical="center" shrinkToFit="1"/>
    </xf>
    <xf numFmtId="0" fontId="3" fillId="0" borderId="3" xfId="1" applyFont="1" applyFill="1" applyBorder="1" applyAlignment="1" applyProtection="1">
      <alignment horizontal="center" vertical="center" shrinkToFit="1"/>
    </xf>
    <xf numFmtId="0" fontId="1" fillId="0" borderId="2" xfId="1" applyFont="1" applyFill="1" applyBorder="1" applyAlignment="1" applyProtection="1">
      <alignment horizontal="center" vertical="center"/>
    </xf>
    <xf numFmtId="0" fontId="1" fillId="0" borderId="3" xfId="1" applyFont="1" applyFill="1" applyBorder="1" applyAlignment="1" applyProtection="1">
      <alignment horizontal="center" vertical="center"/>
    </xf>
    <xf numFmtId="0" fontId="1" fillId="0" borderId="1" xfId="1" applyFont="1" applyFill="1" applyBorder="1" applyAlignment="1" applyProtection="1">
      <alignment horizontal="center" vertical="center"/>
    </xf>
    <xf numFmtId="0" fontId="3" fillId="0" borderId="48" xfId="1" applyFont="1" applyFill="1" applyBorder="1" applyAlignment="1" applyProtection="1">
      <alignment horizontal="center" vertical="center" shrinkToFit="1"/>
    </xf>
    <xf numFmtId="0" fontId="3" fillId="0" borderId="49" xfId="1" applyFont="1" applyFill="1" applyBorder="1" applyAlignment="1" applyProtection="1">
      <alignment horizontal="center" vertical="center" shrinkToFit="1"/>
    </xf>
    <xf numFmtId="0" fontId="1" fillId="0" borderId="51" xfId="1" applyFont="1" applyFill="1" applyBorder="1" applyAlignment="1" applyProtection="1">
      <alignment horizontal="center" vertical="center"/>
    </xf>
    <xf numFmtId="0" fontId="1" fillId="0" borderId="44" xfId="1" applyFont="1" applyFill="1" applyBorder="1" applyAlignment="1" applyProtection="1">
      <alignment horizontal="center" vertical="center"/>
    </xf>
    <xf numFmtId="0" fontId="1" fillId="0" borderId="52" xfId="1" applyFont="1" applyFill="1" applyBorder="1" applyAlignment="1" applyProtection="1">
      <alignment horizontal="center" vertical="center"/>
    </xf>
    <xf numFmtId="0" fontId="16" fillId="0" borderId="24" xfId="1" applyFont="1" applyFill="1" applyBorder="1" applyAlignment="1" applyProtection="1">
      <alignment horizontal="center" vertical="center"/>
      <protection locked="0"/>
    </xf>
    <xf numFmtId="0" fontId="16" fillId="2" borderId="24" xfId="0" applyFont="1" applyFill="1" applyBorder="1" applyAlignment="1" applyProtection="1">
      <alignment horizontal="center" vertical="center"/>
      <protection locked="0"/>
    </xf>
    <xf numFmtId="0" fontId="16" fillId="2" borderId="36" xfId="0" applyFont="1" applyFill="1" applyBorder="1" applyAlignment="1" applyProtection="1">
      <alignment horizontal="center" vertical="center"/>
      <protection locked="0"/>
    </xf>
    <xf numFmtId="0" fontId="1" fillId="0" borderId="53" xfId="1" applyFont="1" applyFill="1" applyBorder="1" applyAlignment="1" applyProtection="1">
      <alignment horizontal="center" vertical="center" shrinkToFit="1"/>
    </xf>
    <xf numFmtId="0" fontId="23" fillId="2" borderId="24" xfId="1" applyFont="1" applyFill="1" applyBorder="1" applyAlignment="1" applyProtection="1">
      <alignment horizontal="center" vertical="center"/>
      <protection locked="0"/>
    </xf>
    <xf numFmtId="0" fontId="1" fillId="3" borderId="10" xfId="1" applyFont="1" applyFill="1" applyBorder="1" applyAlignment="1" applyProtection="1">
      <alignment horizontal="center" vertical="center" shrinkToFit="1"/>
    </xf>
    <xf numFmtId="0" fontId="1" fillId="3" borderId="11" xfId="1" applyFont="1" applyFill="1" applyBorder="1" applyAlignment="1" applyProtection="1">
      <alignment horizontal="center" vertical="center" shrinkToFit="1"/>
    </xf>
    <xf numFmtId="0" fontId="23" fillId="3" borderId="11" xfId="1" applyFont="1" applyFill="1" applyBorder="1" applyAlignment="1" applyProtection="1">
      <alignment horizontal="center" vertical="center"/>
      <protection locked="0"/>
    </xf>
    <xf numFmtId="0" fontId="1" fillId="2" borderId="11" xfId="1" applyFont="1" applyFill="1" applyBorder="1" applyAlignment="1" applyProtection="1">
      <alignment horizontal="center" vertical="center"/>
      <protection locked="0"/>
    </xf>
    <xf numFmtId="0" fontId="1" fillId="2" borderId="34" xfId="1" applyFont="1" applyFill="1" applyBorder="1" applyAlignment="1" applyProtection="1">
      <alignment horizontal="center" vertical="center"/>
      <protection locked="0"/>
    </xf>
    <xf numFmtId="0" fontId="1" fillId="3" borderId="47" xfId="1" applyFont="1" applyFill="1" applyBorder="1" applyAlignment="1" applyProtection="1">
      <alignment horizontal="center" vertical="center" shrinkToFit="1"/>
    </xf>
    <xf numFmtId="0" fontId="1" fillId="0" borderId="7" xfId="1" applyFont="1" applyFill="1" applyBorder="1" applyAlignment="1" applyProtection="1">
      <alignment horizontal="center" vertical="center" shrinkToFit="1"/>
    </xf>
    <xf numFmtId="0" fontId="1" fillId="0" borderId="11" xfId="1" applyFont="1" applyFill="1" applyBorder="1" applyAlignment="1" applyProtection="1">
      <alignment horizontal="center" vertical="center"/>
      <protection locked="0"/>
    </xf>
    <xf numFmtId="0" fontId="16" fillId="0" borderId="11" xfId="1" applyFont="1" applyFill="1" applyBorder="1" applyAlignment="1" applyProtection="1">
      <alignment horizontal="center" vertical="center"/>
    </xf>
    <xf numFmtId="0" fontId="23" fillId="2" borderId="34" xfId="1" applyFont="1" applyFill="1" applyBorder="1" applyAlignment="1" applyProtection="1">
      <alignment horizontal="center" vertical="center"/>
      <protection locked="0"/>
    </xf>
    <xf numFmtId="0" fontId="1" fillId="0" borderId="47" xfId="1" applyFont="1" applyFill="1" applyBorder="1" applyAlignment="1" applyProtection="1">
      <alignment horizontal="center" vertical="center" shrinkToFit="1"/>
    </xf>
    <xf numFmtId="0" fontId="17" fillId="0" borderId="10" xfId="1" applyFont="1" applyFill="1" applyBorder="1" applyAlignment="1" applyProtection="1">
      <alignment horizontal="center" vertical="center" shrinkToFit="1"/>
    </xf>
    <xf numFmtId="0" fontId="17" fillId="0" borderId="11" xfId="1" applyFont="1" applyFill="1" applyBorder="1" applyAlignment="1" applyProtection="1">
      <alignment horizontal="center" vertical="center" shrinkToFit="1"/>
    </xf>
    <xf numFmtId="0" fontId="16" fillId="0" borderId="12" xfId="0" applyFont="1" applyFill="1" applyBorder="1" applyAlignment="1" applyProtection="1">
      <alignment horizontal="center" vertical="center"/>
    </xf>
    <xf numFmtId="0" fontId="16" fillId="0" borderId="47" xfId="0" applyFont="1" applyFill="1" applyBorder="1" applyAlignment="1" applyProtection="1">
      <alignment horizontal="center" vertical="center"/>
    </xf>
    <xf numFmtId="14" fontId="23" fillId="2" borderId="11" xfId="1" applyNumberFormat="1" applyFont="1" applyFill="1" applyBorder="1" applyAlignment="1" applyProtection="1">
      <alignment horizontal="center" vertical="center"/>
      <protection locked="0"/>
    </xf>
    <xf numFmtId="14" fontId="23" fillId="2" borderId="34" xfId="1" applyNumberFormat="1" applyFont="1" applyFill="1" applyBorder="1" applyAlignment="1" applyProtection="1">
      <alignment horizontal="center" vertical="center"/>
      <protection locked="0"/>
    </xf>
    <xf numFmtId="0" fontId="1" fillId="0" borderId="50" xfId="1" applyFont="1" applyFill="1" applyBorder="1" applyAlignment="1" applyProtection="1">
      <alignment horizontal="center" vertical="center" shrinkToFit="1"/>
    </xf>
    <xf numFmtId="0" fontId="23" fillId="2" borderId="7" xfId="1" applyFont="1" applyFill="1" applyBorder="1" applyAlignment="1" applyProtection="1">
      <alignment horizontal="center" vertical="center"/>
      <protection locked="0"/>
    </xf>
    <xf numFmtId="0" fontId="16" fillId="2" borderId="3" xfId="0" applyFont="1" applyFill="1" applyBorder="1" applyAlignment="1" applyProtection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</xf>
    <xf numFmtId="14" fontId="24" fillId="0" borderId="16" xfId="1" applyNumberFormat="1" applyFont="1" applyFill="1" applyBorder="1" applyAlignment="1" applyProtection="1">
      <alignment horizontal="left" vertical="center"/>
      <protection locked="0"/>
    </xf>
    <xf numFmtId="14" fontId="24" fillId="0" borderId="43" xfId="1" applyNumberFormat="1" applyFont="1" applyFill="1" applyBorder="1" applyAlignment="1" applyProtection="1">
      <alignment horizontal="left" vertical="center"/>
      <protection locked="0"/>
    </xf>
    <xf numFmtId="0" fontId="3" fillId="0" borderId="44" xfId="1" applyFont="1" applyFill="1" applyBorder="1" applyAlignment="1" applyProtection="1">
      <alignment horizontal="center" vertical="center"/>
    </xf>
    <xf numFmtId="0" fontId="16" fillId="2" borderId="46" xfId="0" applyFont="1" applyFill="1" applyBorder="1" applyAlignment="1" applyProtection="1">
      <alignment horizontal="center" vertical="center"/>
    </xf>
    <xf numFmtId="0" fontId="16" fillId="2" borderId="22" xfId="0" applyFont="1" applyFill="1" applyBorder="1" applyAlignment="1" applyProtection="1">
      <alignment horizontal="center" vertical="center"/>
    </xf>
    <xf numFmtId="49" fontId="16" fillId="2" borderId="12" xfId="0" applyNumberFormat="1" applyFont="1" applyFill="1" applyBorder="1" applyAlignment="1" applyProtection="1">
      <alignment horizontal="center" vertical="center"/>
    </xf>
    <xf numFmtId="49" fontId="16" fillId="2" borderId="47" xfId="0" applyNumberFormat="1" applyFont="1" applyFill="1" applyBorder="1" applyAlignment="1" applyProtection="1">
      <alignment horizontal="center" vertical="center"/>
    </xf>
    <xf numFmtId="9" fontId="23" fillId="2" borderId="11" xfId="1" applyNumberFormat="1" applyFont="1" applyFill="1" applyBorder="1" applyAlignment="1" applyProtection="1">
      <alignment horizontal="center" vertical="center"/>
      <protection locked="0"/>
    </xf>
    <xf numFmtId="0" fontId="23" fillId="2" borderId="12" xfId="1" applyFont="1" applyFill="1" applyBorder="1" applyAlignment="1" applyProtection="1">
      <alignment horizontal="center" vertical="center"/>
      <protection locked="0"/>
    </xf>
    <xf numFmtId="0" fontId="6" fillId="2" borderId="43" xfId="3" applyFont="1" applyFill="1" applyBorder="1" applyAlignment="1" applyProtection="1">
      <alignment horizontal="center" vertical="center"/>
      <protection locked="0"/>
    </xf>
    <xf numFmtId="0" fontId="23" fillId="3" borderId="12" xfId="1" applyFont="1" applyFill="1" applyBorder="1" applyAlignment="1" applyProtection="1">
      <alignment horizontal="center" vertical="center"/>
      <protection locked="0"/>
    </xf>
    <xf numFmtId="0" fontId="16" fillId="0" borderId="11" xfId="1" applyFont="1" applyFill="1" applyBorder="1" applyAlignment="1" applyProtection="1">
      <alignment horizontal="center" vertical="center"/>
      <protection locked="0"/>
    </xf>
    <xf numFmtId="0" fontId="14" fillId="0" borderId="0" xfId="3" applyFont="1" applyFill="1" applyBorder="1" applyAlignment="1" applyProtection="1">
      <alignment horizontal="center" vertical="center"/>
      <protection locked="0"/>
    </xf>
    <xf numFmtId="0" fontId="22" fillId="0" borderId="0" xfId="1" applyFont="1" applyFill="1" applyBorder="1" applyAlignment="1" applyProtection="1">
      <alignment horizontal="center" vertical="center"/>
    </xf>
    <xf numFmtId="14" fontId="21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37" xfId="1" applyFont="1" applyFill="1" applyBorder="1" applyAlignment="1" applyProtection="1">
      <alignment horizontal="center" vertical="center" shrinkToFit="1"/>
    </xf>
    <xf numFmtId="0" fontId="3" fillId="0" borderId="38" xfId="1" applyFont="1" applyFill="1" applyBorder="1" applyAlignment="1" applyProtection="1">
      <alignment horizontal="center" vertical="center" shrinkToFit="1"/>
    </xf>
    <xf numFmtId="0" fontId="3" fillId="0" borderId="39" xfId="1" applyFont="1" applyFill="1" applyBorder="1" applyAlignment="1" applyProtection="1">
      <alignment horizontal="center" vertical="center" shrinkToFit="1"/>
    </xf>
    <xf numFmtId="0" fontId="3" fillId="0" borderId="37" xfId="1" applyFont="1" applyFill="1" applyBorder="1" applyAlignment="1" applyProtection="1">
      <alignment horizontal="center" vertical="center"/>
    </xf>
    <xf numFmtId="0" fontId="3" fillId="0" borderId="38" xfId="1" applyFont="1" applyFill="1" applyBorder="1" applyAlignment="1" applyProtection="1">
      <alignment horizontal="center" vertical="center"/>
    </xf>
    <xf numFmtId="0" fontId="3" fillId="0" borderId="39" xfId="1" applyFont="1" applyFill="1" applyBorder="1" applyAlignment="1" applyProtection="1">
      <alignment horizontal="center" vertical="center"/>
    </xf>
    <xf numFmtId="0" fontId="16" fillId="2" borderId="20" xfId="1" applyFont="1" applyFill="1" applyBorder="1" applyAlignment="1" applyProtection="1">
      <alignment horizontal="center" vertical="center"/>
      <protection locked="0"/>
    </xf>
    <xf numFmtId="0" fontId="1" fillId="3" borderId="20" xfId="1" applyFont="1" applyFill="1" applyBorder="1" applyAlignment="1" applyProtection="1">
      <alignment horizontal="center" vertical="center" shrinkToFit="1"/>
    </xf>
    <xf numFmtId="0" fontId="23" fillId="3" borderId="20" xfId="1" applyFont="1" applyFill="1" applyBorder="1" applyAlignment="1" applyProtection="1">
      <alignment horizontal="center" vertical="center"/>
      <protection locked="0"/>
    </xf>
    <xf numFmtId="0" fontId="23" fillId="3" borderId="40" xfId="1" applyFont="1" applyFill="1" applyBorder="1" applyAlignment="1" applyProtection="1">
      <alignment horizontal="center" vertical="center"/>
      <protection locked="0"/>
    </xf>
  </cellXfs>
  <cellStyles count="4">
    <cellStyle name="常规" xfId="0" builtinId="0"/>
    <cellStyle name="常规 2" xfId="1"/>
    <cellStyle name="常规_Sheet1" xfId="2"/>
    <cellStyle name="常规_Sheet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419100</xdr:colOff>
      <xdr:row>32</xdr:row>
      <xdr:rowOff>257175</xdr:rowOff>
    </xdr:from>
    <xdr:to>
      <xdr:col>18</xdr:col>
      <xdr:colOff>419100</xdr:colOff>
      <xdr:row>32</xdr:row>
      <xdr:rowOff>257175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 flipV="1">
          <a:off x="13487400" y="6276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419100</xdr:colOff>
      <xdr:row>32</xdr:row>
      <xdr:rowOff>257175</xdr:rowOff>
    </xdr:from>
    <xdr:to>
      <xdr:col>18</xdr:col>
      <xdr:colOff>419100</xdr:colOff>
      <xdr:row>32</xdr:row>
      <xdr:rowOff>257175</xdr:rowOff>
    </xdr:to>
    <xdr:sp macro="" textlink="">
      <xdr:nvSpPr>
        <xdr:cNvPr id="1026" name="Line 1"/>
        <xdr:cNvSpPr>
          <a:spLocks noChangeShapeType="1"/>
        </xdr:cNvSpPr>
      </xdr:nvSpPr>
      <xdr:spPr bwMode="auto">
        <a:xfrm flipV="1">
          <a:off x="13487400" y="6276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419100</xdr:colOff>
      <xdr:row>32</xdr:row>
      <xdr:rowOff>257175</xdr:rowOff>
    </xdr:from>
    <xdr:to>
      <xdr:col>18</xdr:col>
      <xdr:colOff>419100</xdr:colOff>
      <xdr:row>32</xdr:row>
      <xdr:rowOff>257175</xdr:rowOff>
    </xdr:to>
    <xdr:sp macro="" textlink="">
      <xdr:nvSpPr>
        <xdr:cNvPr id="1027" name="Line 1"/>
        <xdr:cNvSpPr>
          <a:spLocks noChangeShapeType="1"/>
        </xdr:cNvSpPr>
      </xdr:nvSpPr>
      <xdr:spPr bwMode="auto">
        <a:xfrm flipV="1">
          <a:off x="13487400" y="6276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419100</xdr:colOff>
      <xdr:row>59</xdr:row>
      <xdr:rowOff>257175</xdr:rowOff>
    </xdr:from>
    <xdr:to>
      <xdr:col>18</xdr:col>
      <xdr:colOff>419100</xdr:colOff>
      <xdr:row>59</xdr:row>
      <xdr:rowOff>257175</xdr:rowOff>
    </xdr:to>
    <xdr:sp macro="" textlink="">
      <xdr:nvSpPr>
        <xdr:cNvPr id="1028" name="Line 1"/>
        <xdr:cNvSpPr>
          <a:spLocks noChangeShapeType="1"/>
        </xdr:cNvSpPr>
      </xdr:nvSpPr>
      <xdr:spPr bwMode="auto">
        <a:xfrm flipV="1">
          <a:off x="13487400" y="11249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419100</xdr:colOff>
      <xdr:row>59</xdr:row>
      <xdr:rowOff>257175</xdr:rowOff>
    </xdr:from>
    <xdr:to>
      <xdr:col>18</xdr:col>
      <xdr:colOff>419100</xdr:colOff>
      <xdr:row>59</xdr:row>
      <xdr:rowOff>257175</xdr:rowOff>
    </xdr:to>
    <xdr:sp macro="" textlink="">
      <xdr:nvSpPr>
        <xdr:cNvPr id="1029" name="Line 1"/>
        <xdr:cNvSpPr>
          <a:spLocks noChangeShapeType="1"/>
        </xdr:cNvSpPr>
      </xdr:nvSpPr>
      <xdr:spPr bwMode="auto">
        <a:xfrm flipV="1">
          <a:off x="13487400" y="11249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419100</xdr:colOff>
      <xdr:row>59</xdr:row>
      <xdr:rowOff>257175</xdr:rowOff>
    </xdr:from>
    <xdr:to>
      <xdr:col>18</xdr:col>
      <xdr:colOff>419100</xdr:colOff>
      <xdr:row>59</xdr:row>
      <xdr:rowOff>257175</xdr:rowOff>
    </xdr:to>
    <xdr:sp macro="" textlink="">
      <xdr:nvSpPr>
        <xdr:cNvPr id="1030" name="Line 1"/>
        <xdr:cNvSpPr>
          <a:spLocks noChangeShapeType="1"/>
        </xdr:cNvSpPr>
      </xdr:nvSpPr>
      <xdr:spPr bwMode="auto">
        <a:xfrm flipV="1">
          <a:off x="13487400" y="11249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60&#20113;&#30424;\RFID%20&#36719;&#20214;\&#32593;&#26032;\&#29983;&#20135;&#36890;&#30693;&#21333;&#27169;&#29256;OK%20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产通知单OK"/>
      <sheetName val="常用辅料信息表"/>
    </sheetNames>
    <sheetDataSet>
      <sheetData sheetId="0"/>
      <sheetData sheetId="1">
        <row r="1">
          <cell r="D1" t="str">
            <v>辅料分类</v>
          </cell>
          <cell r="E1" t="str">
            <v>辅料编号</v>
          </cell>
          <cell r="F1" t="str">
            <v>规格</v>
          </cell>
          <cell r="G1" t="str">
            <v>单价</v>
          </cell>
          <cell r="H1" t="str">
            <v>常用供应商</v>
          </cell>
        </row>
        <row r="2">
          <cell r="D2" t="str">
            <v>缝纫线</v>
          </cell>
          <cell r="E2" t="str">
            <v>TEX90/203</v>
          </cell>
          <cell r="F2">
            <v>1500</v>
          </cell>
          <cell r="G2">
            <v>1</v>
          </cell>
          <cell r="H2" t="str">
            <v>A1</v>
          </cell>
        </row>
        <row r="3">
          <cell r="D3" t="str">
            <v>缝纫线</v>
          </cell>
          <cell r="E3" t="str">
            <v>TEX60/202</v>
          </cell>
          <cell r="F3">
            <v>3000</v>
          </cell>
          <cell r="G3">
            <v>2</v>
          </cell>
          <cell r="H3" t="str">
            <v>A1</v>
          </cell>
        </row>
        <row r="4">
          <cell r="D4" t="str">
            <v>缝纫线</v>
          </cell>
          <cell r="E4">
            <v>403</v>
          </cell>
          <cell r="F4">
            <v>3000</v>
          </cell>
          <cell r="G4">
            <v>1</v>
          </cell>
          <cell r="H4" t="str">
            <v>A1</v>
          </cell>
        </row>
        <row r="5">
          <cell r="D5" t="str">
            <v>缝纫线</v>
          </cell>
          <cell r="E5">
            <v>302</v>
          </cell>
          <cell r="F5">
            <v>3000</v>
          </cell>
          <cell r="G5">
            <v>1</v>
          </cell>
          <cell r="H5" t="str">
            <v>A1</v>
          </cell>
        </row>
        <row r="6">
          <cell r="D6" t="str">
            <v>缝纫线</v>
          </cell>
          <cell r="E6">
            <v>209</v>
          </cell>
          <cell r="F6">
            <v>500</v>
          </cell>
          <cell r="G6">
            <v>1</v>
          </cell>
          <cell r="H6" t="str">
            <v>A1</v>
          </cell>
        </row>
        <row r="7">
          <cell r="D7" t="str">
            <v>缝纫线</v>
          </cell>
          <cell r="E7">
            <v>202</v>
          </cell>
          <cell r="F7">
            <v>3000</v>
          </cell>
          <cell r="G7">
            <v>1</v>
          </cell>
          <cell r="H7" t="str">
            <v>A1</v>
          </cell>
        </row>
        <row r="8">
          <cell r="D8" t="str">
            <v>缝纫线</v>
          </cell>
          <cell r="E8">
            <v>163</v>
          </cell>
          <cell r="F8">
            <v>1500</v>
          </cell>
          <cell r="G8">
            <v>1</v>
          </cell>
          <cell r="H8" t="str">
            <v>A1</v>
          </cell>
        </row>
        <row r="9">
          <cell r="D9" t="str">
            <v>面料</v>
          </cell>
          <cell r="E9" t="str">
            <v>09-090</v>
          </cell>
          <cell r="G9">
            <v>10</v>
          </cell>
          <cell r="H9" t="str">
            <v>M1</v>
          </cell>
        </row>
        <row r="10">
          <cell r="D10" t="str">
            <v>袋布+加强布</v>
          </cell>
          <cell r="E10" t="str">
            <v>门幅-57</v>
          </cell>
          <cell r="G10">
            <v>9.9</v>
          </cell>
          <cell r="H10" t="str">
            <v>M23</v>
          </cell>
        </row>
        <row r="11">
          <cell r="D11" t="str">
            <v>有纺衬</v>
          </cell>
          <cell r="E11" t="str">
            <v>门幅-150CM</v>
          </cell>
          <cell r="G11">
            <v>9.8000000000000007</v>
          </cell>
          <cell r="H11" t="str">
            <v>M23</v>
          </cell>
        </row>
        <row r="12">
          <cell r="D12" t="str">
            <v>主标</v>
          </cell>
          <cell r="E12" t="str">
            <v>HM18009</v>
          </cell>
          <cell r="G12">
            <v>9.6999999999999993</v>
          </cell>
          <cell r="H12" t="str">
            <v>F25</v>
          </cell>
        </row>
        <row r="13">
          <cell r="D13" t="str">
            <v>尺码标</v>
          </cell>
          <cell r="E13" t="str">
            <v>HM22035</v>
          </cell>
          <cell r="G13">
            <v>9.6</v>
          </cell>
          <cell r="H13" t="str">
            <v>F25</v>
          </cell>
        </row>
        <row r="14">
          <cell r="D14" t="str">
            <v>洗标</v>
          </cell>
          <cell r="E14" t="str">
            <v>HM30000</v>
          </cell>
          <cell r="G14">
            <v>9.5</v>
          </cell>
          <cell r="H14" t="str">
            <v>F25</v>
          </cell>
        </row>
        <row r="15">
          <cell r="D15" t="str">
            <v>门巾拉链</v>
          </cell>
          <cell r="E15" t="str">
            <v>YKK580</v>
          </cell>
          <cell r="G15">
            <v>9.4</v>
          </cell>
          <cell r="H15" t="str">
            <v>F28</v>
          </cell>
        </row>
        <row r="16">
          <cell r="D16" t="str">
            <v>PP小胶袋</v>
          </cell>
          <cell r="E16" t="str">
            <v>8*5CM</v>
          </cell>
          <cell r="G16">
            <v>9.3000000000000007</v>
          </cell>
          <cell r="H16" t="str">
            <v>F10</v>
          </cell>
        </row>
        <row r="17">
          <cell r="D17" t="str">
            <v>PP小胶袋</v>
          </cell>
          <cell r="E17" t="str">
            <v>6*5CM</v>
          </cell>
          <cell r="G17">
            <v>9.1999999999999993</v>
          </cell>
          <cell r="H17" t="str">
            <v>F10</v>
          </cell>
        </row>
        <row r="18">
          <cell r="D18" t="str">
            <v>工字扣</v>
          </cell>
          <cell r="E18" t="str">
            <v>27L</v>
          </cell>
          <cell r="G18">
            <v>9.1</v>
          </cell>
          <cell r="H18" t="str">
            <v>F26</v>
          </cell>
        </row>
        <row r="19">
          <cell r="D19" t="str">
            <v>价格牌</v>
          </cell>
          <cell r="E19" t="str">
            <v>HM01</v>
          </cell>
          <cell r="G19">
            <v>9</v>
          </cell>
          <cell r="H19" t="str">
            <v>F26</v>
          </cell>
        </row>
        <row r="20">
          <cell r="D20" t="str">
            <v>枪针</v>
          </cell>
          <cell r="E20" t="str">
            <v>1″</v>
          </cell>
          <cell r="G20">
            <v>8.9</v>
          </cell>
          <cell r="H20" t="str">
            <v>F10</v>
          </cell>
        </row>
        <row r="21">
          <cell r="D21" t="str">
            <v>撞钉</v>
          </cell>
          <cell r="E21" t="str">
            <v>12L</v>
          </cell>
          <cell r="G21">
            <v>8.8000000000000007</v>
          </cell>
          <cell r="H21" t="str">
            <v>F26</v>
          </cell>
        </row>
        <row r="22">
          <cell r="D22" t="str">
            <v>箱唛</v>
          </cell>
          <cell r="E22" t="str">
            <v>PE-HD 02</v>
          </cell>
          <cell r="G22">
            <v>8.6</v>
          </cell>
          <cell r="H22" t="str">
            <v>F30</v>
          </cell>
        </row>
        <row r="23">
          <cell r="D23" t="str">
            <v>箱袋</v>
          </cell>
          <cell r="G23">
            <v>8.5000000000000107</v>
          </cell>
          <cell r="H23" t="str">
            <v>F30</v>
          </cell>
        </row>
        <row r="24">
          <cell r="D24" t="str">
            <v>纸箱</v>
          </cell>
          <cell r="G24">
            <v>8.4000000000000092</v>
          </cell>
          <cell r="H24" t="str">
            <v>F30</v>
          </cell>
        </row>
        <row r="25">
          <cell r="D25" t="str">
            <v>封箱带</v>
          </cell>
          <cell r="G25">
            <v>8.3000000000000096</v>
          </cell>
          <cell r="H25" t="str">
            <v>F30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abSelected="1" workbookViewId="0">
      <selection activeCell="I16" sqref="I16"/>
    </sheetView>
  </sheetViews>
  <sheetFormatPr defaultRowHeight="13.5"/>
  <cols>
    <col min="1" max="1" width="9.25" style="1" customWidth="1"/>
    <col min="2" max="2" width="11.375" style="1" customWidth="1"/>
    <col min="3" max="3" width="11.5" style="1" customWidth="1"/>
    <col min="4" max="4" width="9.5" style="1" customWidth="1"/>
    <col min="5" max="5" width="10.25" style="1" customWidth="1"/>
    <col min="6" max="6" width="7.5" style="1" customWidth="1"/>
    <col min="7" max="7" width="8.125" style="1" customWidth="1"/>
    <col min="8" max="8" width="7.625" style="1" customWidth="1"/>
    <col min="9" max="9" width="7.5" style="1" customWidth="1"/>
    <col min="10" max="10" width="10.75" style="1" customWidth="1"/>
    <col min="11" max="11" width="9.375" style="1" customWidth="1"/>
    <col min="12" max="12" width="9.5" style="1" customWidth="1"/>
    <col min="13" max="13" width="7.5" style="1" customWidth="1"/>
    <col min="14" max="14" width="7.375" style="1" customWidth="1"/>
    <col min="15" max="15" width="14.5" style="1" customWidth="1"/>
    <col min="16" max="16" width="10.375" style="1" customWidth="1"/>
    <col min="17" max="17" width="10.25" style="1" customWidth="1"/>
    <col min="18" max="18" width="9.25" style="4" customWidth="1"/>
    <col min="19" max="19" width="7.5" style="1" customWidth="1"/>
    <col min="20" max="16384" width="9" style="1"/>
  </cols>
  <sheetData>
    <row r="1" spans="1:23" ht="27">
      <c r="A1" s="211" t="s">
        <v>131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3" s="113" customFormat="1" ht="15" thickBot="1">
      <c r="A2" s="2" t="s">
        <v>0</v>
      </c>
      <c r="B2" s="119"/>
      <c r="C2" s="2" t="s">
        <v>118</v>
      </c>
      <c r="D2" s="198"/>
      <c r="E2" s="199"/>
      <c r="F2" s="210" t="s">
        <v>116</v>
      </c>
      <c r="G2" s="210"/>
      <c r="H2" s="198"/>
      <c r="I2" s="199"/>
      <c r="J2" s="117" t="s">
        <v>122</v>
      </c>
      <c r="K2" s="120"/>
      <c r="L2" s="118"/>
      <c r="M2" s="212" t="s">
        <v>126</v>
      </c>
      <c r="N2" s="212"/>
      <c r="O2" s="121"/>
      <c r="P2" s="3" t="s">
        <v>2</v>
      </c>
      <c r="Q2" s="121"/>
      <c r="R2" s="3" t="s">
        <v>1</v>
      </c>
      <c r="S2" s="198"/>
      <c r="T2" s="199"/>
      <c r="W2" s="114"/>
    </row>
    <row r="3" spans="1:23" ht="15" thickBot="1">
      <c r="A3" s="213" t="s">
        <v>3</v>
      </c>
      <c r="B3" s="214"/>
      <c r="C3" s="214"/>
      <c r="D3" s="214"/>
      <c r="E3" s="214"/>
      <c r="F3" s="214"/>
      <c r="G3" s="214"/>
      <c r="H3" s="215"/>
      <c r="I3" s="216" t="s">
        <v>4</v>
      </c>
      <c r="J3" s="217"/>
      <c r="K3" s="217"/>
      <c r="L3" s="217"/>
      <c r="M3" s="217"/>
      <c r="N3" s="217"/>
      <c r="O3" s="218"/>
      <c r="P3" s="213" t="s">
        <v>5</v>
      </c>
      <c r="Q3" s="214"/>
      <c r="R3" s="214"/>
      <c r="S3" s="214"/>
      <c r="T3" s="215"/>
    </row>
    <row r="4" spans="1:23" s="5" customFormat="1" ht="14.25">
      <c r="A4" s="134" t="s">
        <v>6</v>
      </c>
      <c r="B4" s="135"/>
      <c r="C4" s="219"/>
      <c r="D4" s="219"/>
      <c r="E4" s="220" t="s">
        <v>7</v>
      </c>
      <c r="F4" s="220"/>
      <c r="G4" s="221"/>
      <c r="H4" s="222"/>
      <c r="I4" s="134" t="s">
        <v>120</v>
      </c>
      <c r="J4" s="135"/>
      <c r="K4" s="138"/>
      <c r="L4" s="138"/>
      <c r="M4" s="135" t="s">
        <v>121</v>
      </c>
      <c r="N4" s="135"/>
      <c r="O4" s="115"/>
      <c r="P4" s="132"/>
      <c r="Q4" s="132"/>
      <c r="R4" s="132"/>
      <c r="S4" s="132"/>
      <c r="T4" s="133"/>
    </row>
    <row r="5" spans="1:23" s="5" customFormat="1" ht="14.25">
      <c r="A5" s="136" t="s">
        <v>8</v>
      </c>
      <c r="B5" s="137"/>
      <c r="C5" s="180"/>
      <c r="D5" s="180"/>
      <c r="E5" s="178" t="s">
        <v>9</v>
      </c>
      <c r="F5" s="178"/>
      <c r="G5" s="179"/>
      <c r="H5" s="208"/>
      <c r="I5" s="136"/>
      <c r="J5" s="137"/>
      <c r="K5" s="139"/>
      <c r="L5" s="139"/>
      <c r="M5" s="137" t="s">
        <v>123</v>
      </c>
      <c r="N5" s="137"/>
      <c r="O5" s="116"/>
      <c r="P5" s="132"/>
      <c r="Q5" s="132"/>
      <c r="R5" s="132"/>
      <c r="S5" s="132"/>
      <c r="T5" s="133"/>
    </row>
    <row r="6" spans="1:23" s="5" customFormat="1" ht="14.25">
      <c r="A6" s="136" t="s">
        <v>11</v>
      </c>
      <c r="B6" s="137"/>
      <c r="C6" s="180"/>
      <c r="D6" s="180"/>
      <c r="E6" s="178" t="s">
        <v>12</v>
      </c>
      <c r="F6" s="178"/>
      <c r="G6" s="179"/>
      <c r="H6" s="208"/>
      <c r="I6" s="136" t="s">
        <v>10</v>
      </c>
      <c r="J6" s="137"/>
      <c r="K6" s="209"/>
      <c r="L6" s="209"/>
      <c r="M6" s="137" t="s">
        <v>124</v>
      </c>
      <c r="N6" s="137"/>
      <c r="O6" s="116"/>
      <c r="P6" s="201"/>
      <c r="Q6" s="201"/>
      <c r="R6" s="201"/>
      <c r="S6" s="201"/>
      <c r="T6" s="202"/>
    </row>
    <row r="7" spans="1:23" s="5" customFormat="1" ht="15" thickBot="1">
      <c r="A7" s="136" t="s">
        <v>14</v>
      </c>
      <c r="B7" s="137"/>
      <c r="C7" s="203"/>
      <c r="D7" s="204"/>
      <c r="E7" s="137" t="s">
        <v>15</v>
      </c>
      <c r="F7" s="137"/>
      <c r="G7" s="205"/>
      <c r="H7" s="206"/>
      <c r="I7" s="130" t="s">
        <v>13</v>
      </c>
      <c r="J7" s="131"/>
      <c r="K7" s="209"/>
      <c r="L7" s="209"/>
      <c r="M7" s="131" t="s">
        <v>125</v>
      </c>
      <c r="N7" s="131"/>
      <c r="O7" s="128"/>
      <c r="P7" s="207"/>
      <c r="Q7" s="160"/>
      <c r="R7" s="160"/>
      <c r="S7" s="160"/>
      <c r="T7" s="161"/>
    </row>
    <row r="8" spans="1:23" s="5" customFormat="1" ht="15" thickBot="1">
      <c r="A8" s="188" t="s">
        <v>16</v>
      </c>
      <c r="B8" s="189"/>
      <c r="C8" s="184"/>
      <c r="D8" s="184"/>
      <c r="E8" s="137" t="s">
        <v>119</v>
      </c>
      <c r="F8" s="137"/>
      <c r="G8" s="139"/>
      <c r="H8" s="186"/>
      <c r="I8" s="200" t="s">
        <v>17</v>
      </c>
      <c r="J8" s="200"/>
      <c r="K8" s="200"/>
      <c r="L8" s="200"/>
      <c r="M8" s="200"/>
      <c r="N8" s="200"/>
      <c r="O8" s="200"/>
      <c r="P8" s="159"/>
      <c r="Q8" s="160"/>
      <c r="R8" s="160"/>
      <c r="S8" s="160"/>
      <c r="T8" s="161"/>
    </row>
    <row r="9" spans="1:23" s="5" customFormat="1" ht="14.25">
      <c r="A9" s="188" t="s">
        <v>18</v>
      </c>
      <c r="B9" s="189"/>
      <c r="C9" s="190"/>
      <c r="D9" s="191"/>
      <c r="E9" s="137" t="s">
        <v>115</v>
      </c>
      <c r="F9" s="137"/>
      <c r="G9" s="192"/>
      <c r="H9" s="193"/>
      <c r="I9" s="194" t="s">
        <v>19</v>
      </c>
      <c r="J9" s="183"/>
      <c r="K9" s="195"/>
      <c r="L9" s="195"/>
      <c r="M9" s="183" t="s">
        <v>20</v>
      </c>
      <c r="N9" s="183"/>
      <c r="O9" s="108"/>
      <c r="P9" s="159"/>
      <c r="Q9" s="160"/>
      <c r="R9" s="160"/>
      <c r="S9" s="160"/>
      <c r="T9" s="161"/>
    </row>
    <row r="10" spans="1:23" s="5" customFormat="1" ht="14.25">
      <c r="A10" s="177" t="s">
        <v>21</v>
      </c>
      <c r="B10" s="178"/>
      <c r="C10" s="184"/>
      <c r="D10" s="184"/>
      <c r="E10" s="185" t="s">
        <v>22</v>
      </c>
      <c r="F10" s="185"/>
      <c r="G10" s="139"/>
      <c r="H10" s="186"/>
      <c r="I10" s="187" t="s">
        <v>23</v>
      </c>
      <c r="J10" s="137"/>
      <c r="K10" s="139"/>
      <c r="L10" s="139"/>
      <c r="M10" s="137" t="s">
        <v>24</v>
      </c>
      <c r="N10" s="137"/>
      <c r="O10" s="109"/>
      <c r="P10" s="159"/>
      <c r="Q10" s="160"/>
      <c r="R10" s="160"/>
      <c r="S10" s="160"/>
      <c r="T10" s="161"/>
    </row>
    <row r="11" spans="1:23" s="5" customFormat="1" ht="15" thickBot="1">
      <c r="A11" s="177" t="s">
        <v>25</v>
      </c>
      <c r="B11" s="178"/>
      <c r="C11" s="179"/>
      <c r="D11" s="179"/>
      <c r="E11" s="137" t="s">
        <v>26</v>
      </c>
      <c r="F11" s="137"/>
      <c r="G11" s="180"/>
      <c r="H11" s="181"/>
      <c r="I11" s="182" t="s">
        <v>27</v>
      </c>
      <c r="J11" s="178"/>
      <c r="K11" s="179"/>
      <c r="L11" s="179"/>
      <c r="M11" s="178" t="s">
        <v>28</v>
      </c>
      <c r="N11" s="178"/>
      <c r="O11" s="129"/>
      <c r="P11" s="159"/>
      <c r="Q11" s="160"/>
      <c r="R11" s="160"/>
      <c r="S11" s="160"/>
      <c r="T11" s="161"/>
    </row>
    <row r="12" spans="1:23" s="5" customFormat="1" ht="15" thickBot="1">
      <c r="A12" s="142" t="s">
        <v>56</v>
      </c>
      <c r="B12" s="143"/>
      <c r="C12" s="172"/>
      <c r="D12" s="172"/>
      <c r="E12" s="131" t="s">
        <v>29</v>
      </c>
      <c r="F12" s="131"/>
      <c r="G12" s="173"/>
      <c r="H12" s="174"/>
      <c r="I12" s="175" t="s">
        <v>30</v>
      </c>
      <c r="J12" s="131"/>
      <c r="K12" s="176"/>
      <c r="L12" s="176"/>
      <c r="M12" s="131" t="s">
        <v>31</v>
      </c>
      <c r="N12" s="131"/>
      <c r="O12" s="110"/>
      <c r="P12" s="111" t="s">
        <v>117</v>
      </c>
      <c r="Q12" s="112"/>
      <c r="R12" s="196"/>
      <c r="S12" s="196"/>
      <c r="T12" s="197"/>
    </row>
    <row r="13" spans="1:23" ht="15" thickBot="1">
      <c r="A13" s="167" t="s">
        <v>130</v>
      </c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2" t="s">
        <v>127</v>
      </c>
      <c r="S13" s="163"/>
      <c r="T13" s="6" t="str">
        <f>IF(G10=T21,"总数准确","总数错误")</f>
        <v>总数准确</v>
      </c>
      <c r="U13" s="4"/>
    </row>
    <row r="14" spans="1:23" s="13" customFormat="1" ht="15" thickBot="1">
      <c r="A14" s="7" t="s">
        <v>33</v>
      </c>
      <c r="B14" s="8" t="s">
        <v>34</v>
      </c>
      <c r="C14" s="122" t="s">
        <v>35</v>
      </c>
      <c r="D14" s="123">
        <v>28</v>
      </c>
      <c r="E14" s="123">
        <v>29</v>
      </c>
      <c r="F14" s="123">
        <v>30</v>
      </c>
      <c r="G14" s="123">
        <v>31</v>
      </c>
      <c r="H14" s="123">
        <v>32</v>
      </c>
      <c r="I14" s="123">
        <v>33</v>
      </c>
      <c r="J14" s="123">
        <v>34</v>
      </c>
      <c r="K14" s="123">
        <v>36</v>
      </c>
      <c r="L14" s="123">
        <v>38</v>
      </c>
      <c r="M14" s="123">
        <v>40</v>
      </c>
      <c r="N14" s="123">
        <v>42</v>
      </c>
      <c r="O14" s="124">
        <v>44</v>
      </c>
      <c r="P14" s="9"/>
      <c r="Q14" s="9"/>
      <c r="R14" s="9"/>
      <c r="S14" s="10"/>
      <c r="T14" s="11" t="s">
        <v>128</v>
      </c>
      <c r="U14" s="12"/>
    </row>
    <row r="15" spans="1:23">
      <c r="A15" s="14"/>
      <c r="B15" s="15"/>
      <c r="C15" s="125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3"/>
      <c r="O15" s="127"/>
      <c r="P15" s="16"/>
      <c r="Q15" s="16"/>
      <c r="R15" s="16"/>
      <c r="S15" s="17"/>
      <c r="T15" s="18">
        <f>SUM(D15:S15)</f>
        <v>0</v>
      </c>
      <c r="U15" s="4"/>
    </row>
    <row r="16" spans="1:23">
      <c r="A16" s="19"/>
      <c r="B16" s="20"/>
      <c r="C16" s="125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3"/>
      <c r="O16" s="127"/>
      <c r="P16" s="21"/>
      <c r="Q16" s="21"/>
      <c r="R16" s="21"/>
      <c r="S16" s="22"/>
      <c r="T16" s="23"/>
      <c r="U16" s="4"/>
    </row>
    <row r="17" spans="1:21">
      <c r="A17" s="19"/>
      <c r="B17" s="20"/>
      <c r="C17" s="125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3"/>
      <c r="O17" s="127"/>
      <c r="P17" s="21"/>
      <c r="Q17" s="21"/>
      <c r="R17" s="21"/>
      <c r="S17" s="22"/>
      <c r="T17" s="23"/>
      <c r="U17" s="4"/>
    </row>
    <row r="18" spans="1:21">
      <c r="A18" s="19"/>
      <c r="B18" s="20"/>
      <c r="C18" s="125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3"/>
      <c r="O18" s="127"/>
      <c r="P18" s="21"/>
      <c r="Q18" s="21"/>
      <c r="R18" s="21"/>
      <c r="S18" s="22"/>
      <c r="T18" s="23"/>
      <c r="U18" s="4"/>
    </row>
    <row r="19" spans="1:21">
      <c r="A19" s="19"/>
      <c r="B19" s="20"/>
      <c r="C19" s="125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3"/>
      <c r="O19" s="127"/>
      <c r="P19" s="21"/>
      <c r="Q19" s="21"/>
      <c r="R19" s="21"/>
      <c r="S19" s="22"/>
      <c r="T19" s="23"/>
      <c r="U19" s="4"/>
    </row>
    <row r="20" spans="1:21" ht="14.25" thickBot="1">
      <c r="A20" s="24"/>
      <c r="B20" s="25"/>
      <c r="C20" s="125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3"/>
      <c r="O20" s="127"/>
      <c r="P20" s="26"/>
      <c r="Q20" s="26"/>
      <c r="R20" s="26"/>
      <c r="S20" s="27"/>
      <c r="T20" s="28"/>
      <c r="U20" s="4"/>
    </row>
    <row r="21" spans="1:21" ht="15" thickBot="1">
      <c r="A21" s="164" t="s">
        <v>36</v>
      </c>
      <c r="B21" s="165"/>
      <c r="C21" s="166"/>
      <c r="D21" s="29">
        <f t="shared" ref="D21:S21" si="0">SUM(D15:D20)</f>
        <v>0</v>
      </c>
      <c r="E21" s="30">
        <f t="shared" si="0"/>
        <v>0</v>
      </c>
      <c r="F21" s="30">
        <f t="shared" si="0"/>
        <v>0</v>
      </c>
      <c r="G21" s="30">
        <f>SUM(G15:G20)</f>
        <v>0</v>
      </c>
      <c r="H21" s="30">
        <f>SUM(H15:H20)</f>
        <v>0</v>
      </c>
      <c r="I21" s="30">
        <f t="shared" si="0"/>
        <v>0</v>
      </c>
      <c r="J21" s="30">
        <f t="shared" si="0"/>
        <v>0</v>
      </c>
      <c r="K21" s="30">
        <f t="shared" si="0"/>
        <v>0</v>
      </c>
      <c r="L21" s="30">
        <f t="shared" si="0"/>
        <v>0</v>
      </c>
      <c r="M21" s="30">
        <f t="shared" si="0"/>
        <v>0</v>
      </c>
      <c r="N21" s="30">
        <f t="shared" si="0"/>
        <v>0</v>
      </c>
      <c r="O21" s="30">
        <f t="shared" si="0"/>
        <v>0</v>
      </c>
      <c r="P21" s="30">
        <f t="shared" si="0"/>
        <v>0</v>
      </c>
      <c r="Q21" s="30">
        <f t="shared" si="0"/>
        <v>0</v>
      </c>
      <c r="R21" s="30">
        <f t="shared" si="0"/>
        <v>0</v>
      </c>
      <c r="S21" s="31">
        <f t="shared" si="0"/>
        <v>0</v>
      </c>
      <c r="T21" s="32">
        <f>SUM(D21:S21)</f>
        <v>0</v>
      </c>
      <c r="U21" s="4"/>
    </row>
    <row r="22" spans="1:21" ht="15" thickBot="1">
      <c r="A22" s="167" t="s">
        <v>129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7" t="s">
        <v>37</v>
      </c>
      <c r="R22" s="168"/>
      <c r="S22" s="168"/>
      <c r="T22" s="33" t="e">
        <f>(T30/G10-1)*100</f>
        <v>#DIV/0!</v>
      </c>
      <c r="U22" s="4"/>
    </row>
    <row r="23" spans="1:21" ht="15" thickBot="1">
      <c r="A23" s="7" t="s">
        <v>33</v>
      </c>
      <c r="B23" s="8" t="s">
        <v>34</v>
      </c>
      <c r="C23" s="8" t="s">
        <v>35</v>
      </c>
      <c r="D23" s="8">
        <f>IF(D14="","",D14)</f>
        <v>28</v>
      </c>
      <c r="E23" s="8">
        <f t="shared" ref="E23:S23" si="1">IF(E14="","",E14)</f>
        <v>29</v>
      </c>
      <c r="F23" s="8">
        <f t="shared" si="1"/>
        <v>30</v>
      </c>
      <c r="G23" s="8">
        <f t="shared" si="1"/>
        <v>31</v>
      </c>
      <c r="H23" s="8">
        <f t="shared" si="1"/>
        <v>32</v>
      </c>
      <c r="I23" s="8">
        <f t="shared" si="1"/>
        <v>33</v>
      </c>
      <c r="J23" s="8">
        <f t="shared" si="1"/>
        <v>34</v>
      </c>
      <c r="K23" s="8">
        <f t="shared" si="1"/>
        <v>36</v>
      </c>
      <c r="L23" s="8">
        <f t="shared" si="1"/>
        <v>38</v>
      </c>
      <c r="M23" s="8">
        <f t="shared" si="1"/>
        <v>40</v>
      </c>
      <c r="N23" s="8">
        <f t="shared" si="1"/>
        <v>42</v>
      </c>
      <c r="O23" s="8">
        <f t="shared" si="1"/>
        <v>44</v>
      </c>
      <c r="P23" s="8" t="str">
        <f t="shared" si="1"/>
        <v/>
      </c>
      <c r="Q23" s="8" t="str">
        <f t="shared" si="1"/>
        <v/>
      </c>
      <c r="R23" s="8" t="str">
        <f t="shared" si="1"/>
        <v/>
      </c>
      <c r="S23" s="34" t="str">
        <f t="shared" si="1"/>
        <v/>
      </c>
      <c r="T23" s="11" t="s">
        <v>38</v>
      </c>
      <c r="U23" s="4"/>
    </row>
    <row r="24" spans="1:21" ht="14.25">
      <c r="A24" s="35" t="str">
        <f>IF(A15="","",A15)</f>
        <v/>
      </c>
      <c r="B24" s="36" t="str">
        <f>IF(B15="","",B15)</f>
        <v/>
      </c>
      <c r="C24" s="36" t="str">
        <f>IF(C15="","",C15)</f>
        <v/>
      </c>
      <c r="D24" s="37" t="str">
        <f t="shared" ref="D24:S29" si="2">IF(D15="","",CEILING(D15*(1+$G$7/100),1))</f>
        <v/>
      </c>
      <c r="E24" s="37" t="str">
        <f t="shared" si="2"/>
        <v/>
      </c>
      <c r="F24" s="37" t="str">
        <f t="shared" si="2"/>
        <v/>
      </c>
      <c r="G24" s="37" t="str">
        <f t="shared" si="2"/>
        <v/>
      </c>
      <c r="H24" s="37" t="str">
        <f t="shared" si="2"/>
        <v/>
      </c>
      <c r="I24" s="37" t="str">
        <f t="shared" si="2"/>
        <v/>
      </c>
      <c r="J24" s="37" t="str">
        <f t="shared" si="2"/>
        <v/>
      </c>
      <c r="K24" s="37" t="str">
        <f t="shared" si="2"/>
        <v/>
      </c>
      <c r="L24" s="37" t="str">
        <f t="shared" si="2"/>
        <v/>
      </c>
      <c r="M24" s="37" t="str">
        <f t="shared" si="2"/>
        <v/>
      </c>
      <c r="N24" s="37" t="str">
        <f t="shared" si="2"/>
        <v/>
      </c>
      <c r="O24" s="37" t="str">
        <f t="shared" si="2"/>
        <v/>
      </c>
      <c r="P24" s="37" t="str">
        <f t="shared" si="2"/>
        <v/>
      </c>
      <c r="Q24" s="37" t="str">
        <f t="shared" si="2"/>
        <v/>
      </c>
      <c r="R24" s="37" t="str">
        <f t="shared" si="2"/>
        <v/>
      </c>
      <c r="S24" s="37" t="str">
        <f t="shared" si="2"/>
        <v/>
      </c>
      <c r="T24" s="38">
        <f>SUM(D24:S24)</f>
        <v>0</v>
      </c>
      <c r="U24" s="4"/>
    </row>
    <row r="25" spans="1:21" ht="14.25">
      <c r="A25" s="39" t="str">
        <f t="shared" ref="A25:C29" si="3">IF(A16="","",A16)</f>
        <v/>
      </c>
      <c r="B25" s="40" t="str">
        <f t="shared" si="3"/>
        <v/>
      </c>
      <c r="C25" s="40" t="str">
        <f t="shared" si="3"/>
        <v/>
      </c>
      <c r="D25" s="41" t="str">
        <f t="shared" si="2"/>
        <v/>
      </c>
      <c r="E25" s="41" t="str">
        <f t="shared" si="2"/>
        <v/>
      </c>
      <c r="F25" s="41" t="str">
        <f t="shared" si="2"/>
        <v/>
      </c>
      <c r="G25" s="41" t="str">
        <f t="shared" si="2"/>
        <v/>
      </c>
      <c r="H25" s="41" t="str">
        <f t="shared" si="2"/>
        <v/>
      </c>
      <c r="I25" s="41" t="str">
        <f t="shared" si="2"/>
        <v/>
      </c>
      <c r="J25" s="41" t="str">
        <f t="shared" si="2"/>
        <v/>
      </c>
      <c r="K25" s="41" t="str">
        <f t="shared" si="2"/>
        <v/>
      </c>
      <c r="L25" s="41" t="str">
        <f t="shared" si="2"/>
        <v/>
      </c>
      <c r="M25" s="41" t="str">
        <f t="shared" si="2"/>
        <v/>
      </c>
      <c r="N25" s="41" t="str">
        <f t="shared" si="2"/>
        <v/>
      </c>
      <c r="O25" s="41" t="str">
        <f t="shared" si="2"/>
        <v/>
      </c>
      <c r="P25" s="41" t="str">
        <f t="shared" si="2"/>
        <v/>
      </c>
      <c r="Q25" s="41" t="str">
        <f t="shared" si="2"/>
        <v/>
      </c>
      <c r="R25" s="41" t="str">
        <f t="shared" si="2"/>
        <v/>
      </c>
      <c r="S25" s="41" t="str">
        <f t="shared" si="2"/>
        <v/>
      </c>
      <c r="T25" s="42"/>
      <c r="U25" s="4"/>
    </row>
    <row r="26" spans="1:21" ht="14.25">
      <c r="A26" s="39" t="str">
        <f t="shared" si="3"/>
        <v/>
      </c>
      <c r="B26" s="40" t="str">
        <f t="shared" si="3"/>
        <v/>
      </c>
      <c r="C26" s="40" t="str">
        <f t="shared" si="3"/>
        <v/>
      </c>
      <c r="D26" s="41" t="str">
        <f t="shared" si="2"/>
        <v/>
      </c>
      <c r="E26" s="41" t="str">
        <f t="shared" si="2"/>
        <v/>
      </c>
      <c r="F26" s="41" t="str">
        <f t="shared" si="2"/>
        <v/>
      </c>
      <c r="G26" s="41" t="str">
        <f t="shared" si="2"/>
        <v/>
      </c>
      <c r="H26" s="41" t="str">
        <f t="shared" si="2"/>
        <v/>
      </c>
      <c r="I26" s="41" t="str">
        <f t="shared" si="2"/>
        <v/>
      </c>
      <c r="J26" s="41" t="str">
        <f t="shared" si="2"/>
        <v/>
      </c>
      <c r="K26" s="41"/>
      <c r="L26" s="41" t="str">
        <f t="shared" si="2"/>
        <v/>
      </c>
      <c r="M26" s="41" t="str">
        <f t="shared" si="2"/>
        <v/>
      </c>
      <c r="N26" s="41" t="str">
        <f t="shared" si="2"/>
        <v/>
      </c>
      <c r="O26" s="41" t="str">
        <f t="shared" si="2"/>
        <v/>
      </c>
      <c r="P26" s="41" t="str">
        <f t="shared" si="2"/>
        <v/>
      </c>
      <c r="Q26" s="41" t="str">
        <f t="shared" si="2"/>
        <v/>
      </c>
      <c r="R26" s="41" t="str">
        <f t="shared" si="2"/>
        <v/>
      </c>
      <c r="S26" s="41" t="str">
        <f t="shared" si="2"/>
        <v/>
      </c>
      <c r="T26" s="42"/>
      <c r="U26" s="4"/>
    </row>
    <row r="27" spans="1:21" ht="14.25">
      <c r="A27" s="39" t="str">
        <f t="shared" si="3"/>
        <v/>
      </c>
      <c r="B27" s="40" t="str">
        <f t="shared" si="3"/>
        <v/>
      </c>
      <c r="C27" s="40" t="str">
        <f t="shared" si="3"/>
        <v/>
      </c>
      <c r="D27" s="41" t="str">
        <f t="shared" si="2"/>
        <v/>
      </c>
      <c r="E27" s="41" t="str">
        <f t="shared" si="2"/>
        <v/>
      </c>
      <c r="F27" s="41" t="str">
        <f t="shared" si="2"/>
        <v/>
      </c>
      <c r="G27" s="41" t="str">
        <f t="shared" si="2"/>
        <v/>
      </c>
      <c r="H27" s="41" t="str">
        <f t="shared" si="2"/>
        <v/>
      </c>
      <c r="I27" s="41" t="str">
        <f t="shared" si="2"/>
        <v/>
      </c>
      <c r="J27" s="41" t="str">
        <f t="shared" si="2"/>
        <v/>
      </c>
      <c r="K27" s="41" t="str">
        <f t="shared" si="2"/>
        <v/>
      </c>
      <c r="L27" s="41" t="str">
        <f t="shared" si="2"/>
        <v/>
      </c>
      <c r="M27" s="41" t="str">
        <f t="shared" si="2"/>
        <v/>
      </c>
      <c r="N27" s="41" t="str">
        <f t="shared" si="2"/>
        <v/>
      </c>
      <c r="O27" s="41" t="str">
        <f t="shared" si="2"/>
        <v/>
      </c>
      <c r="P27" s="41" t="str">
        <f t="shared" si="2"/>
        <v/>
      </c>
      <c r="Q27" s="41" t="str">
        <f t="shared" si="2"/>
        <v/>
      </c>
      <c r="R27" s="41" t="str">
        <f t="shared" si="2"/>
        <v/>
      </c>
      <c r="S27" s="41" t="str">
        <f t="shared" si="2"/>
        <v/>
      </c>
      <c r="T27" s="42"/>
      <c r="U27" s="4"/>
    </row>
    <row r="28" spans="1:21" ht="14.25">
      <c r="A28" s="39" t="str">
        <f t="shared" si="3"/>
        <v/>
      </c>
      <c r="B28" s="40" t="str">
        <f t="shared" si="3"/>
        <v/>
      </c>
      <c r="C28" s="40" t="str">
        <f t="shared" si="3"/>
        <v/>
      </c>
      <c r="D28" s="41" t="str">
        <f t="shared" si="2"/>
        <v/>
      </c>
      <c r="E28" s="41" t="str">
        <f t="shared" si="2"/>
        <v/>
      </c>
      <c r="F28" s="41" t="str">
        <f t="shared" si="2"/>
        <v/>
      </c>
      <c r="G28" s="41" t="str">
        <f t="shared" si="2"/>
        <v/>
      </c>
      <c r="H28" s="41" t="str">
        <f t="shared" si="2"/>
        <v/>
      </c>
      <c r="I28" s="41" t="str">
        <f t="shared" si="2"/>
        <v/>
      </c>
      <c r="J28" s="41" t="str">
        <f t="shared" si="2"/>
        <v/>
      </c>
      <c r="K28" s="41" t="str">
        <f t="shared" si="2"/>
        <v/>
      </c>
      <c r="L28" s="41" t="str">
        <f t="shared" si="2"/>
        <v/>
      </c>
      <c r="M28" s="41" t="str">
        <f t="shared" si="2"/>
        <v/>
      </c>
      <c r="N28" s="41" t="str">
        <f t="shared" si="2"/>
        <v/>
      </c>
      <c r="O28" s="41" t="str">
        <f t="shared" si="2"/>
        <v/>
      </c>
      <c r="P28" s="41" t="str">
        <f t="shared" si="2"/>
        <v/>
      </c>
      <c r="Q28" s="41" t="str">
        <f t="shared" si="2"/>
        <v/>
      </c>
      <c r="R28" s="41" t="str">
        <f t="shared" si="2"/>
        <v/>
      </c>
      <c r="S28" s="41" t="str">
        <f t="shared" si="2"/>
        <v/>
      </c>
      <c r="T28" s="42"/>
      <c r="U28" s="4"/>
    </row>
    <row r="29" spans="1:21" ht="15" thickBot="1">
      <c r="A29" s="43" t="str">
        <f t="shared" si="3"/>
        <v/>
      </c>
      <c r="B29" s="44" t="str">
        <f t="shared" si="3"/>
        <v/>
      </c>
      <c r="C29" s="44" t="str">
        <f t="shared" si="3"/>
        <v/>
      </c>
      <c r="D29" s="45" t="str">
        <f t="shared" si="2"/>
        <v/>
      </c>
      <c r="E29" s="45" t="str">
        <f t="shared" si="2"/>
        <v/>
      </c>
      <c r="F29" s="45" t="str">
        <f t="shared" si="2"/>
        <v/>
      </c>
      <c r="G29" s="45" t="str">
        <f t="shared" si="2"/>
        <v/>
      </c>
      <c r="H29" s="45" t="str">
        <f t="shared" si="2"/>
        <v/>
      </c>
      <c r="I29" s="45" t="str">
        <f t="shared" si="2"/>
        <v/>
      </c>
      <c r="J29" s="45" t="str">
        <f t="shared" si="2"/>
        <v/>
      </c>
      <c r="K29" s="45" t="str">
        <f t="shared" si="2"/>
        <v/>
      </c>
      <c r="L29" s="45" t="str">
        <f t="shared" si="2"/>
        <v/>
      </c>
      <c r="M29" s="45" t="str">
        <f t="shared" si="2"/>
        <v/>
      </c>
      <c r="N29" s="45" t="str">
        <f t="shared" si="2"/>
        <v/>
      </c>
      <c r="O29" s="45" t="str">
        <f t="shared" si="2"/>
        <v/>
      </c>
      <c r="P29" s="45" t="str">
        <f t="shared" si="2"/>
        <v/>
      </c>
      <c r="Q29" s="45" t="str">
        <f t="shared" si="2"/>
        <v/>
      </c>
      <c r="R29" s="45" t="str">
        <f t="shared" si="2"/>
        <v/>
      </c>
      <c r="S29" s="45" t="str">
        <f t="shared" si="2"/>
        <v/>
      </c>
      <c r="T29" s="46">
        <v>0</v>
      </c>
      <c r="U29" s="4"/>
    </row>
    <row r="30" spans="1:21" ht="15" thickBot="1">
      <c r="A30" s="169" t="s">
        <v>36</v>
      </c>
      <c r="B30" s="170"/>
      <c r="C30" s="171"/>
      <c r="D30" s="47">
        <f t="shared" ref="D30:S30" si="4">SUM(D24:D29)</f>
        <v>0</v>
      </c>
      <c r="E30" s="48">
        <f t="shared" si="4"/>
        <v>0</v>
      </c>
      <c r="F30" s="48">
        <f t="shared" si="4"/>
        <v>0</v>
      </c>
      <c r="G30" s="48">
        <f t="shared" si="4"/>
        <v>0</v>
      </c>
      <c r="H30" s="48">
        <f t="shared" si="4"/>
        <v>0</v>
      </c>
      <c r="I30" s="48">
        <f t="shared" si="4"/>
        <v>0</v>
      </c>
      <c r="J30" s="48">
        <f t="shared" si="4"/>
        <v>0</v>
      </c>
      <c r="K30" s="48">
        <f t="shared" si="4"/>
        <v>0</v>
      </c>
      <c r="L30" s="48">
        <f t="shared" si="4"/>
        <v>0</v>
      </c>
      <c r="M30" s="48">
        <f t="shared" si="4"/>
        <v>0</v>
      </c>
      <c r="N30" s="48">
        <f t="shared" si="4"/>
        <v>0</v>
      </c>
      <c r="O30" s="48">
        <f t="shared" si="4"/>
        <v>0</v>
      </c>
      <c r="P30" s="48">
        <f t="shared" si="4"/>
        <v>0</v>
      </c>
      <c r="Q30" s="48">
        <f t="shared" si="4"/>
        <v>0</v>
      </c>
      <c r="R30" s="48">
        <f t="shared" si="4"/>
        <v>0</v>
      </c>
      <c r="S30" s="49">
        <f t="shared" si="4"/>
        <v>0</v>
      </c>
      <c r="T30" s="50">
        <f>SUM(D30:S30)</f>
        <v>0</v>
      </c>
      <c r="U30" s="4"/>
    </row>
    <row r="31" spans="1:21" ht="14.25">
      <c r="A31" s="51"/>
      <c r="B31" s="51"/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2"/>
      <c r="Q31" s="52"/>
      <c r="R31" s="53"/>
      <c r="S31" s="54"/>
      <c r="T31" s="55"/>
      <c r="U31" s="4"/>
    </row>
    <row r="32" spans="1:21">
      <c r="A32" s="156" t="s">
        <v>39</v>
      </c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8"/>
    </row>
    <row r="33" spans="1:20" s="62" customFormat="1" ht="40.5">
      <c r="A33" s="56" t="s">
        <v>40</v>
      </c>
      <c r="B33" s="57" t="s">
        <v>41</v>
      </c>
      <c r="C33" s="152" t="s">
        <v>42</v>
      </c>
      <c r="D33" s="152"/>
      <c r="E33" s="57" t="s">
        <v>43</v>
      </c>
      <c r="F33" s="58" t="s">
        <v>44</v>
      </c>
      <c r="G33" s="59" t="s">
        <v>45</v>
      </c>
      <c r="H33" s="60" t="s">
        <v>46</v>
      </c>
      <c r="I33" s="61" t="s">
        <v>32</v>
      </c>
      <c r="J33" s="61" t="s">
        <v>36</v>
      </c>
      <c r="K33" s="61" t="s">
        <v>47</v>
      </c>
      <c r="L33" s="153" t="s">
        <v>48</v>
      </c>
      <c r="M33" s="154"/>
      <c r="N33" s="155"/>
      <c r="O33" s="60" t="s">
        <v>49</v>
      </c>
      <c r="P33" s="60" t="s">
        <v>50</v>
      </c>
      <c r="Q33" s="60" t="s">
        <v>51</v>
      </c>
      <c r="R33" s="60" t="s">
        <v>52</v>
      </c>
      <c r="S33" s="60" t="s">
        <v>53</v>
      </c>
      <c r="T33" s="60" t="s">
        <v>54</v>
      </c>
    </row>
    <row r="34" spans="1:20">
      <c r="A34" s="63"/>
      <c r="B34" s="64"/>
      <c r="C34" s="145"/>
      <c r="D34" s="145"/>
      <c r="E34" s="64"/>
      <c r="F34" s="64"/>
      <c r="G34" s="64"/>
      <c r="H34" s="65">
        <f>+T$30*G34</f>
        <v>0</v>
      </c>
      <c r="I34" s="66" t="str">
        <f>IF(B34="","",VLOOKUP(B34,[1]常用辅料信息表!$D$1:$H$65536,4,FALSE))</f>
        <v/>
      </c>
      <c r="J34" s="67" t="str">
        <f t="shared" ref="J34:J44" si="5">IF(I34="","",H34*I34)</f>
        <v/>
      </c>
      <c r="K34" s="66"/>
      <c r="L34" s="146"/>
      <c r="M34" s="147"/>
      <c r="N34" s="148"/>
      <c r="O34" s="67" t="str">
        <f>IF(B34="","",VLOOKUP(B34,[1]常用辅料信息表!$D$1:$H$65536,5,FALSE))</f>
        <v/>
      </c>
      <c r="P34" s="68"/>
      <c r="Q34" s="69"/>
      <c r="R34" s="69"/>
      <c r="S34" s="66"/>
      <c r="T34" s="66"/>
    </row>
    <row r="35" spans="1:20">
      <c r="A35" s="63"/>
      <c r="B35" s="70"/>
      <c r="C35" s="145"/>
      <c r="D35" s="145"/>
      <c r="E35" s="71"/>
      <c r="F35" s="71"/>
      <c r="G35" s="72"/>
      <c r="H35" s="65">
        <f>+T$30*G35</f>
        <v>0</v>
      </c>
      <c r="I35" s="66" t="str">
        <f>IF(B35="","",VLOOKUP(B35,[1]常用辅料信息表!$D$1:$H$65536,4,FALSE))</f>
        <v/>
      </c>
      <c r="J35" s="67" t="str">
        <f t="shared" si="5"/>
        <v/>
      </c>
      <c r="K35" s="66"/>
      <c r="L35" s="146"/>
      <c r="M35" s="147"/>
      <c r="N35" s="148"/>
      <c r="O35" s="67" t="str">
        <f>IF(B35="","",VLOOKUP(B35,[1]常用辅料信息表!$D$1:$H$65536,5,FALSE))</f>
        <v/>
      </c>
      <c r="P35" s="68"/>
      <c r="Q35" s="69"/>
      <c r="R35" s="69"/>
      <c r="S35" s="66"/>
      <c r="T35" s="66"/>
    </row>
    <row r="36" spans="1:20">
      <c r="A36" s="63"/>
      <c r="B36" s="70"/>
      <c r="C36" s="145"/>
      <c r="D36" s="145"/>
      <c r="E36" s="64"/>
      <c r="F36" s="64"/>
      <c r="G36" s="70"/>
      <c r="H36" s="65">
        <f t="shared" ref="H36:H48" si="6">+T$30*G36</f>
        <v>0</v>
      </c>
      <c r="I36" s="66" t="str">
        <f>IF(B36="","",VLOOKUP(B36,[1]常用辅料信息表!$D$1:$H$65536,4,FALSE))</f>
        <v/>
      </c>
      <c r="J36" s="67" t="str">
        <f t="shared" si="5"/>
        <v/>
      </c>
      <c r="K36" s="66"/>
      <c r="L36" s="146"/>
      <c r="M36" s="147"/>
      <c r="N36" s="148"/>
      <c r="O36" s="67" t="str">
        <f>IF(B36="","",VLOOKUP(B36,[1]常用辅料信息表!$D$1:$H$65536,5,FALSE))</f>
        <v/>
      </c>
      <c r="P36" s="68"/>
      <c r="Q36" s="69"/>
      <c r="R36" s="69"/>
      <c r="S36" s="66"/>
      <c r="T36" s="66"/>
    </row>
    <row r="37" spans="1:20">
      <c r="A37" s="63"/>
      <c r="B37" s="70"/>
      <c r="C37" s="145"/>
      <c r="D37" s="145"/>
      <c r="E37" s="64"/>
      <c r="F37" s="64"/>
      <c r="G37" s="70"/>
      <c r="H37" s="65">
        <f t="shared" si="6"/>
        <v>0</v>
      </c>
      <c r="I37" s="66"/>
      <c r="J37" s="67" t="str">
        <f t="shared" si="5"/>
        <v/>
      </c>
      <c r="K37" s="66"/>
      <c r="L37" s="146"/>
      <c r="M37" s="147"/>
      <c r="N37" s="148"/>
      <c r="O37" s="67" t="str">
        <f>IF(B37="","",VLOOKUP(B37,[1]常用辅料信息表!$D$1:$H$65536,5,FALSE))</f>
        <v/>
      </c>
      <c r="P37" s="68"/>
      <c r="Q37" s="69"/>
      <c r="R37" s="69"/>
      <c r="S37" s="66"/>
      <c r="T37" s="66"/>
    </row>
    <row r="38" spans="1:20">
      <c r="A38" s="73"/>
      <c r="B38" s="70"/>
      <c r="C38" s="145"/>
      <c r="D38" s="145"/>
      <c r="E38" s="64"/>
      <c r="F38" s="64"/>
      <c r="G38" s="70"/>
      <c r="H38" s="65">
        <f t="shared" si="6"/>
        <v>0</v>
      </c>
      <c r="I38" s="66"/>
      <c r="J38" s="67" t="str">
        <f t="shared" si="5"/>
        <v/>
      </c>
      <c r="K38" s="66"/>
      <c r="L38" s="146"/>
      <c r="M38" s="147"/>
      <c r="N38" s="148"/>
      <c r="O38" s="67" t="str">
        <f>IF(B38="","",VLOOKUP(B38,[1]常用辅料信息表!$D$1:$H$65536,5,FALSE))</f>
        <v/>
      </c>
      <c r="P38" s="68"/>
      <c r="Q38" s="69"/>
      <c r="R38" s="69"/>
      <c r="S38" s="66"/>
      <c r="T38" s="66"/>
    </row>
    <row r="39" spans="1:20">
      <c r="A39" s="63"/>
      <c r="B39" s="64"/>
      <c r="C39" s="145"/>
      <c r="D39" s="145"/>
      <c r="E39" s="74"/>
      <c r="F39" s="74"/>
      <c r="G39" s="64"/>
      <c r="H39" s="65">
        <f t="shared" si="6"/>
        <v>0</v>
      </c>
      <c r="I39" s="66" t="str">
        <f>IF(B39="","",VLOOKUP(B39,[1]常用辅料信息表!$D$1:$H$65536,4,FALSE))</f>
        <v/>
      </c>
      <c r="J39" s="67" t="str">
        <f t="shared" si="5"/>
        <v/>
      </c>
      <c r="K39" s="66"/>
      <c r="L39" s="146"/>
      <c r="M39" s="147"/>
      <c r="N39" s="148"/>
      <c r="O39" s="67" t="str">
        <f>IF(B39="","",VLOOKUP(B39,[1]常用辅料信息表!$D$1:$H$65536,5,FALSE))</f>
        <v/>
      </c>
      <c r="P39" s="68"/>
      <c r="Q39" s="69"/>
      <c r="R39" s="69"/>
      <c r="S39" s="66"/>
      <c r="T39" s="66"/>
    </row>
    <row r="40" spans="1:20">
      <c r="A40" s="63"/>
      <c r="B40" s="75"/>
      <c r="C40" s="145"/>
      <c r="D40" s="145"/>
      <c r="E40" s="76"/>
      <c r="F40" s="76"/>
      <c r="G40" s="64"/>
      <c r="H40" s="65">
        <f t="shared" si="6"/>
        <v>0</v>
      </c>
      <c r="I40" s="66" t="str">
        <f>IF(B40="","",VLOOKUP(B40,[1]常用辅料信息表!$D$1:$H$65536,4,FALSE))</f>
        <v/>
      </c>
      <c r="J40" s="67" t="str">
        <f t="shared" si="5"/>
        <v/>
      </c>
      <c r="K40" s="66"/>
      <c r="L40" s="146"/>
      <c r="M40" s="147"/>
      <c r="N40" s="148"/>
      <c r="O40" s="67" t="str">
        <f>IF(B40="","",VLOOKUP(B40,[1]常用辅料信息表!$D$1:$H$65536,5,FALSE))</f>
        <v/>
      </c>
      <c r="P40" s="68"/>
      <c r="Q40" s="69"/>
      <c r="R40" s="69"/>
      <c r="S40" s="66"/>
      <c r="T40" s="66"/>
    </row>
    <row r="41" spans="1:20">
      <c r="A41" s="63"/>
      <c r="B41" s="70"/>
      <c r="C41" s="145"/>
      <c r="D41" s="145"/>
      <c r="E41" s="77"/>
      <c r="F41" s="77"/>
      <c r="G41" s="64"/>
      <c r="H41" s="65">
        <f t="shared" si="6"/>
        <v>0</v>
      </c>
      <c r="I41" s="66" t="str">
        <f>IF(B41="","",VLOOKUP(B41,[1]常用辅料信息表!$D$1:$H$65536,4,FALSE))</f>
        <v/>
      </c>
      <c r="J41" s="67" t="str">
        <f t="shared" si="5"/>
        <v/>
      </c>
      <c r="K41" s="66"/>
      <c r="L41" s="146"/>
      <c r="M41" s="147"/>
      <c r="N41" s="148"/>
      <c r="O41" s="67" t="str">
        <f>IF(B41="","",VLOOKUP(B41,[1]常用辅料信息表!$D$1:$H$65536,5,FALSE))</f>
        <v/>
      </c>
      <c r="P41" s="68"/>
      <c r="Q41" s="69"/>
      <c r="R41" s="69"/>
      <c r="S41" s="66"/>
      <c r="T41" s="66"/>
    </row>
    <row r="42" spans="1:20">
      <c r="A42" s="63"/>
      <c r="B42" s="70"/>
      <c r="C42" s="145"/>
      <c r="D42" s="145"/>
      <c r="E42" s="77"/>
      <c r="F42" s="77"/>
      <c r="G42" s="64"/>
      <c r="H42" s="65">
        <f t="shared" si="6"/>
        <v>0</v>
      </c>
      <c r="I42" s="66" t="str">
        <f>IF(B42="","",VLOOKUP(B42,[1]常用辅料信息表!$D$1:$H$65536,4,FALSE))</f>
        <v/>
      </c>
      <c r="J42" s="67" t="str">
        <f t="shared" si="5"/>
        <v/>
      </c>
      <c r="K42" s="66"/>
      <c r="L42" s="146"/>
      <c r="M42" s="147"/>
      <c r="N42" s="148"/>
      <c r="O42" s="67" t="str">
        <f>IF(B42="","",VLOOKUP(B42,[1]常用辅料信息表!$D$1:$H$65536,5,FALSE))</f>
        <v/>
      </c>
      <c r="P42" s="68"/>
      <c r="Q42" s="69"/>
      <c r="R42" s="69"/>
      <c r="S42" s="66"/>
      <c r="T42" s="66"/>
    </row>
    <row r="43" spans="1:20">
      <c r="A43" s="63"/>
      <c r="B43" s="70"/>
      <c r="C43" s="145"/>
      <c r="D43" s="145"/>
      <c r="E43" s="78"/>
      <c r="F43" s="78"/>
      <c r="G43" s="64"/>
      <c r="H43" s="65">
        <f t="shared" si="6"/>
        <v>0</v>
      </c>
      <c r="I43" s="66" t="str">
        <f>IF(B43="","",VLOOKUP(B43,[1]常用辅料信息表!$D$1:$H$65536,4,FALSE))</f>
        <v/>
      </c>
      <c r="J43" s="67" t="str">
        <f t="shared" si="5"/>
        <v/>
      </c>
      <c r="K43" s="66"/>
      <c r="L43" s="146"/>
      <c r="M43" s="147"/>
      <c r="N43" s="148"/>
      <c r="O43" s="67" t="str">
        <f>IF(B43="","",VLOOKUP(B43,[1]常用辅料信息表!$D$1:$H$65536,5,FALSE))</f>
        <v/>
      </c>
      <c r="P43" s="68"/>
      <c r="Q43" s="69"/>
      <c r="R43" s="69"/>
      <c r="S43" s="66"/>
      <c r="T43" s="66"/>
    </row>
    <row r="44" spans="1:20">
      <c r="A44" s="63"/>
      <c r="B44" s="70"/>
      <c r="C44" s="145"/>
      <c r="D44" s="145"/>
      <c r="E44" s="79"/>
      <c r="F44" s="79"/>
      <c r="G44" s="72"/>
      <c r="H44" s="65">
        <f t="shared" si="6"/>
        <v>0</v>
      </c>
      <c r="I44" s="66" t="str">
        <f>IF(B44="","",VLOOKUP(B44,[1]常用辅料信息表!$D$1:$H$65536,4,FALSE))</f>
        <v/>
      </c>
      <c r="J44" s="67" t="str">
        <f t="shared" si="5"/>
        <v/>
      </c>
      <c r="K44" s="66"/>
      <c r="L44" s="146"/>
      <c r="M44" s="147"/>
      <c r="N44" s="148"/>
      <c r="O44" s="67" t="str">
        <f>IF(B44="","",VLOOKUP(B44,[1]常用辅料信息表!$D$1:$H$65536,5,FALSE))</f>
        <v/>
      </c>
      <c r="P44" s="68"/>
      <c r="Q44" s="69"/>
      <c r="R44" s="69"/>
      <c r="S44" s="66"/>
      <c r="T44" s="66"/>
    </row>
    <row r="45" spans="1:20">
      <c r="A45" s="63"/>
      <c r="B45" s="70"/>
      <c r="C45" s="145"/>
      <c r="D45" s="145"/>
      <c r="E45" s="79"/>
      <c r="F45" s="79"/>
      <c r="G45" s="72"/>
      <c r="H45" s="65">
        <f t="shared" si="6"/>
        <v>0</v>
      </c>
      <c r="I45" s="66"/>
      <c r="J45" s="67"/>
      <c r="K45" s="66"/>
      <c r="L45" s="146"/>
      <c r="M45" s="147"/>
      <c r="N45" s="148"/>
      <c r="O45" s="67"/>
      <c r="P45" s="68"/>
      <c r="Q45" s="69"/>
      <c r="R45" s="69"/>
      <c r="S45" s="66"/>
      <c r="T45" s="66"/>
    </row>
    <row r="46" spans="1:20">
      <c r="A46" s="63"/>
      <c r="B46" s="70"/>
      <c r="C46" s="145"/>
      <c r="D46" s="145"/>
      <c r="E46" s="79"/>
      <c r="F46" s="79"/>
      <c r="G46" s="72"/>
      <c r="H46" s="65">
        <f t="shared" si="6"/>
        <v>0</v>
      </c>
      <c r="I46" s="66" t="str">
        <f>IF(B46="","",VLOOKUP(B46,[1]常用辅料信息表!$D$1:$H$65536,4,FALSE))</f>
        <v/>
      </c>
      <c r="J46" s="67" t="str">
        <f t="shared" ref="J46:J52" si="7">IF(I46="","",H46*I46)</f>
        <v/>
      </c>
      <c r="K46" s="66"/>
      <c r="L46" s="146"/>
      <c r="M46" s="147"/>
      <c r="N46" s="148"/>
      <c r="O46" s="67" t="str">
        <f>IF(B46="","",VLOOKUP(B46,[1]常用辅料信息表!$D$1:$H$65536,5,FALSE))</f>
        <v/>
      </c>
      <c r="P46" s="68"/>
      <c r="Q46" s="69"/>
      <c r="R46" s="69"/>
      <c r="S46" s="66"/>
      <c r="T46" s="66"/>
    </row>
    <row r="47" spans="1:20">
      <c r="A47" s="63"/>
      <c r="B47" s="75"/>
      <c r="C47" s="145"/>
      <c r="D47" s="145"/>
      <c r="E47" s="77"/>
      <c r="F47" s="77"/>
      <c r="G47" s="75"/>
      <c r="H47" s="65">
        <f t="shared" si="6"/>
        <v>0</v>
      </c>
      <c r="I47" s="66" t="str">
        <f>IF(B47="","",VLOOKUP(B47,[1]常用辅料信息表!$D$1:$H$65536,4,FALSE))</f>
        <v/>
      </c>
      <c r="J47" s="67" t="str">
        <f t="shared" si="7"/>
        <v/>
      </c>
      <c r="K47" s="66"/>
      <c r="L47" s="146"/>
      <c r="M47" s="147"/>
      <c r="N47" s="148"/>
      <c r="O47" s="67" t="str">
        <f>IF(B47="","",VLOOKUP(B47,[1]常用辅料信息表!$D$1:$H$65536,5,FALSE))</f>
        <v/>
      </c>
      <c r="P47" s="68"/>
      <c r="Q47" s="69"/>
      <c r="R47" s="69"/>
      <c r="S47" s="66"/>
      <c r="T47" s="66"/>
    </row>
    <row r="48" spans="1:20">
      <c r="A48" s="63"/>
      <c r="B48" s="64"/>
      <c r="C48" s="145"/>
      <c r="D48" s="145"/>
      <c r="E48" s="80"/>
      <c r="F48" s="80"/>
      <c r="G48" s="64"/>
      <c r="H48" s="65">
        <f t="shared" si="6"/>
        <v>0</v>
      </c>
      <c r="I48" s="66" t="str">
        <f>IF(B48="","",VLOOKUP(B48,[1]常用辅料信息表!$D$1:$H$65536,4,FALSE))</f>
        <v/>
      </c>
      <c r="J48" s="67" t="str">
        <f t="shared" si="7"/>
        <v/>
      </c>
      <c r="K48" s="66"/>
      <c r="L48" s="146"/>
      <c r="M48" s="147"/>
      <c r="N48" s="148"/>
      <c r="O48" s="67" t="str">
        <f>IF(B48="","",VLOOKUP(B48,[1]常用辅料信息表!$D$1:$H$65536,5,FALSE))</f>
        <v/>
      </c>
      <c r="P48" s="68"/>
      <c r="Q48" s="69"/>
      <c r="R48" s="69"/>
      <c r="S48" s="66"/>
      <c r="T48" s="66"/>
    </row>
    <row r="49" spans="1:20">
      <c r="A49" s="63"/>
      <c r="B49" s="64"/>
      <c r="C49" s="145"/>
      <c r="D49" s="145"/>
      <c r="E49" s="76"/>
      <c r="F49" s="76"/>
      <c r="G49" s="64"/>
      <c r="H49" s="81">
        <f>+T$30*G49</f>
        <v>0</v>
      </c>
      <c r="I49" s="66" t="str">
        <f>IF(B49="","",VLOOKUP(B49,[1]常用辅料信息表!$D$1:$H$65536,4,FALSE))</f>
        <v/>
      </c>
      <c r="J49" s="67" t="str">
        <f t="shared" si="7"/>
        <v/>
      </c>
      <c r="K49" s="66"/>
      <c r="L49" s="146"/>
      <c r="M49" s="147"/>
      <c r="N49" s="148"/>
      <c r="O49" s="67" t="str">
        <f>IF(B49="","",VLOOKUP(B49,[1]常用辅料信息表!$D$1:$H$65536,5,FALSE))</f>
        <v/>
      </c>
      <c r="P49" s="68"/>
      <c r="Q49" s="69"/>
      <c r="R49" s="69"/>
      <c r="S49" s="66"/>
      <c r="T49" s="66"/>
    </row>
    <row r="50" spans="1:20">
      <c r="A50" s="63"/>
      <c r="B50" s="64"/>
      <c r="C50" s="145"/>
      <c r="D50" s="145"/>
      <c r="E50" s="76"/>
      <c r="F50" s="76"/>
      <c r="G50" s="64"/>
      <c r="H50" s="81"/>
      <c r="I50" s="66" t="str">
        <f>IF(B50="","",VLOOKUP(B50,[1]常用辅料信息表!$D$1:$H$65536,4,FALSE))</f>
        <v/>
      </c>
      <c r="J50" s="67" t="str">
        <f t="shared" si="7"/>
        <v/>
      </c>
      <c r="K50" s="66"/>
      <c r="L50" s="146"/>
      <c r="M50" s="147"/>
      <c r="N50" s="148"/>
      <c r="O50" s="67" t="str">
        <f>IF(B50="","",VLOOKUP(B50,[1]常用辅料信息表!$D$1:$H$65536,5,FALSE))</f>
        <v/>
      </c>
      <c r="P50" s="68"/>
      <c r="Q50" s="69"/>
      <c r="R50" s="69"/>
      <c r="S50" s="66"/>
      <c r="T50" s="66"/>
    </row>
    <row r="51" spans="1:20">
      <c r="A51" s="63"/>
      <c r="B51" s="64"/>
      <c r="C51" s="145"/>
      <c r="D51" s="145"/>
      <c r="E51" s="76"/>
      <c r="F51" s="76"/>
      <c r="G51" s="64"/>
      <c r="H51" s="81"/>
      <c r="I51" s="66" t="str">
        <f>IF(B51="","",VLOOKUP(B51,[1]常用辅料信息表!$D$1:$H$65536,4,FALSE))</f>
        <v/>
      </c>
      <c r="J51" s="67" t="str">
        <f t="shared" si="7"/>
        <v/>
      </c>
      <c r="K51" s="66"/>
      <c r="L51" s="146"/>
      <c r="M51" s="147"/>
      <c r="N51" s="148"/>
      <c r="O51" s="67" t="str">
        <f>IF(B51="","",VLOOKUP(B51,[1]常用辅料信息表!$D$1:$H$65536,5,FALSE))</f>
        <v/>
      </c>
      <c r="P51" s="68"/>
      <c r="Q51" s="69"/>
      <c r="R51" s="69"/>
      <c r="S51" s="66"/>
      <c r="T51" s="66"/>
    </row>
    <row r="52" spans="1:20">
      <c r="A52" s="63"/>
      <c r="B52" s="64"/>
      <c r="C52" s="145"/>
      <c r="D52" s="145"/>
      <c r="E52" s="76"/>
      <c r="F52" s="76"/>
      <c r="G52" s="64"/>
      <c r="H52" s="81"/>
      <c r="I52" s="66" t="str">
        <f>IF(B52="","",VLOOKUP(B52,[1]常用辅料信息表!$D$1:$H$65536,4,FALSE))</f>
        <v/>
      </c>
      <c r="J52" s="67" t="str">
        <f t="shared" si="7"/>
        <v/>
      </c>
      <c r="K52" s="66"/>
      <c r="L52" s="146"/>
      <c r="M52" s="147"/>
      <c r="N52" s="148"/>
      <c r="O52" s="67" t="str">
        <f>IF(B52="","",VLOOKUP(B52,[1]常用辅料信息表!$D$1:$H$65536,5,FALSE))</f>
        <v/>
      </c>
      <c r="P52" s="68"/>
      <c r="Q52" s="69"/>
      <c r="R52" s="69"/>
      <c r="S52" s="66"/>
      <c r="T52" s="66"/>
    </row>
    <row r="53" spans="1:20">
      <c r="A53" s="63"/>
      <c r="B53" s="64"/>
      <c r="C53" s="145"/>
      <c r="D53" s="145"/>
      <c r="E53" s="76"/>
      <c r="F53" s="76"/>
      <c r="G53" s="64"/>
      <c r="H53" s="81"/>
      <c r="I53" s="66"/>
      <c r="J53" s="67"/>
      <c r="K53" s="66"/>
      <c r="L53" s="146"/>
      <c r="M53" s="147"/>
      <c r="N53" s="148"/>
      <c r="O53" s="67"/>
      <c r="P53" s="68"/>
      <c r="Q53" s="69"/>
      <c r="R53" s="69"/>
      <c r="S53" s="66"/>
      <c r="T53" s="66"/>
    </row>
    <row r="54" spans="1:20">
      <c r="A54" s="63"/>
      <c r="B54" s="64"/>
      <c r="C54" s="145"/>
      <c r="D54" s="145"/>
      <c r="E54" s="76"/>
      <c r="F54" s="76"/>
      <c r="G54" s="64"/>
      <c r="H54" s="65"/>
      <c r="I54" s="66" t="str">
        <f>IF(B54="","",VLOOKUP(B54,[1]常用辅料信息表!$D$1:$H$65536,4,FALSE))</f>
        <v/>
      </c>
      <c r="J54" s="67" t="str">
        <f>IF(I54="","",H54*I54)</f>
        <v/>
      </c>
      <c r="K54" s="66"/>
      <c r="L54" s="146"/>
      <c r="M54" s="147"/>
      <c r="N54" s="148"/>
      <c r="O54" s="67" t="str">
        <f>IF(B54="","",VLOOKUP(B54,[1]常用辅料信息表!$D$1:$H$65536,5,FALSE))</f>
        <v/>
      </c>
      <c r="P54" s="68"/>
      <c r="Q54" s="69"/>
      <c r="R54" s="69"/>
      <c r="S54" s="66"/>
      <c r="T54" s="66"/>
    </row>
    <row r="55" spans="1:20">
      <c r="A55" s="63"/>
      <c r="B55" s="64"/>
      <c r="C55" s="145"/>
      <c r="D55" s="145"/>
      <c r="E55" s="76"/>
      <c r="F55" s="76"/>
      <c r="G55" s="64"/>
      <c r="H55" s="82"/>
      <c r="I55" s="66" t="str">
        <f>IF(B55="","",VLOOKUP(B55,[1]常用辅料信息表!$D$1:$H$65536,4,FALSE))</f>
        <v/>
      </c>
      <c r="J55" s="67" t="str">
        <f>IF(I55="","",H55*I55)</f>
        <v/>
      </c>
      <c r="K55" s="66"/>
      <c r="L55" s="146"/>
      <c r="M55" s="147"/>
      <c r="N55" s="148"/>
      <c r="O55" s="67" t="str">
        <f>IF(B55="","",VLOOKUP(B55,[1]常用辅料信息表!$D$1:$H$65536,5,FALSE))</f>
        <v/>
      </c>
      <c r="P55" s="68"/>
      <c r="Q55" s="69"/>
      <c r="R55" s="69"/>
      <c r="S55" s="66"/>
      <c r="T55" s="66"/>
    </row>
    <row r="56" spans="1:20">
      <c r="A56" s="63"/>
      <c r="B56" s="64"/>
      <c r="C56" s="145"/>
      <c r="D56" s="145"/>
      <c r="E56" s="76"/>
      <c r="F56" s="76"/>
      <c r="G56" s="83"/>
      <c r="H56" s="82"/>
      <c r="I56" s="66" t="str">
        <f>IF(B56="","",VLOOKUP(B56,[1]常用辅料信息表!$D$1:$H$65536,4,FALSE))</f>
        <v/>
      </c>
      <c r="J56" s="67" t="str">
        <f>IF(I56="","",H56*I56)</f>
        <v/>
      </c>
      <c r="K56" s="66"/>
      <c r="L56" s="146"/>
      <c r="M56" s="147"/>
      <c r="N56" s="148"/>
      <c r="O56" s="67" t="str">
        <f>IF(B56="","",VLOOKUP(B56,[1]常用辅料信息表!$D$1:$H$65536,5,FALSE))</f>
        <v/>
      </c>
      <c r="P56" s="68"/>
      <c r="Q56" s="69"/>
      <c r="R56" s="69"/>
      <c r="S56" s="66"/>
      <c r="T56" s="66"/>
    </row>
    <row r="57" spans="1:20">
      <c r="A57" s="63"/>
      <c r="B57" s="64"/>
      <c r="C57" s="145"/>
      <c r="D57" s="145"/>
      <c r="E57" s="76"/>
      <c r="F57" s="76"/>
      <c r="G57" s="64"/>
      <c r="H57" s="84"/>
      <c r="I57" s="66" t="str">
        <f>IF(B57="","",VLOOKUP(B57,[1]常用辅料信息表!$D$1:$H$65536,4,FALSE))</f>
        <v/>
      </c>
      <c r="J57" s="67" t="str">
        <f>IF(I57="","",H57*I57)</f>
        <v/>
      </c>
      <c r="K57" s="66"/>
      <c r="L57" s="146"/>
      <c r="M57" s="147"/>
      <c r="N57" s="148"/>
      <c r="O57" s="67" t="str">
        <f>IF(B57="","",VLOOKUP(B57,[1]常用辅料信息表!$D$1:$H$65536,5,FALSE))</f>
        <v/>
      </c>
      <c r="P57" s="68"/>
      <c r="Q57" s="69"/>
      <c r="R57" s="69"/>
      <c r="S57" s="66"/>
      <c r="T57" s="66"/>
    </row>
    <row r="58" spans="1:20">
      <c r="A58" s="73"/>
      <c r="B58" s="64"/>
      <c r="C58" s="145"/>
      <c r="D58" s="145"/>
      <c r="E58" s="76"/>
      <c r="F58" s="76"/>
      <c r="G58" s="64"/>
      <c r="H58" s="65"/>
      <c r="I58" s="66" t="str">
        <f>IF(B58="","",VLOOKUP(B58,[1]常用辅料信息表!$D$1:$H$65536,4,FALSE))</f>
        <v/>
      </c>
      <c r="J58" s="67" t="str">
        <f>IF(I58="","",H58*I58)</f>
        <v/>
      </c>
      <c r="K58" s="66"/>
      <c r="L58" s="146"/>
      <c r="M58" s="147"/>
      <c r="N58" s="148"/>
      <c r="O58" s="67" t="str">
        <f>IF(B58="","",VLOOKUP(B58,[1]常用辅料信息表!$D$1:$H$65536,5,FALSE))</f>
        <v/>
      </c>
      <c r="P58" s="68"/>
      <c r="Q58" s="69"/>
      <c r="R58" s="69"/>
      <c r="S58" s="66"/>
      <c r="T58" s="66"/>
    </row>
    <row r="59" spans="1:20">
      <c r="A59" s="149" t="s">
        <v>55</v>
      </c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1"/>
    </row>
    <row r="60" spans="1:20" s="62" customFormat="1" ht="40.5">
      <c r="A60" s="56" t="s">
        <v>55</v>
      </c>
      <c r="B60" s="57" t="s">
        <v>41</v>
      </c>
      <c r="C60" s="152" t="s">
        <v>42</v>
      </c>
      <c r="D60" s="152"/>
      <c r="E60" s="57" t="s">
        <v>43</v>
      </c>
      <c r="F60" s="58" t="s">
        <v>44</v>
      </c>
      <c r="G60" s="59" t="s">
        <v>45</v>
      </c>
      <c r="H60" s="61" t="s">
        <v>46</v>
      </c>
      <c r="I60" s="61" t="s">
        <v>32</v>
      </c>
      <c r="J60" s="61" t="s">
        <v>36</v>
      </c>
      <c r="K60" s="61" t="s">
        <v>47</v>
      </c>
      <c r="L60" s="153" t="s">
        <v>48</v>
      </c>
      <c r="M60" s="154"/>
      <c r="N60" s="155"/>
      <c r="O60" s="60" t="s">
        <v>49</v>
      </c>
      <c r="P60" s="60" t="s">
        <v>50</v>
      </c>
      <c r="Q60" s="60" t="s">
        <v>51</v>
      </c>
      <c r="R60" s="60" t="s">
        <v>52</v>
      </c>
      <c r="S60" s="60" t="s">
        <v>53</v>
      </c>
      <c r="T60" s="60" t="s">
        <v>54</v>
      </c>
    </row>
    <row r="61" spans="1:20">
      <c r="A61" s="63"/>
      <c r="B61" s="63"/>
      <c r="C61" s="140"/>
      <c r="D61" s="141"/>
      <c r="E61" s="85"/>
      <c r="F61" s="86"/>
      <c r="G61" s="86"/>
      <c r="H61" s="41"/>
      <c r="I61" s="66"/>
      <c r="J61" s="67"/>
      <c r="K61" s="66"/>
      <c r="L61" s="144"/>
      <c r="M61" s="144"/>
      <c r="N61" s="144"/>
      <c r="O61" s="67" t="str">
        <f>IF(C61="","",VLOOKUP(C61,[1]常用辅料信息表!$E$1:$H$65536,4,FALSE))</f>
        <v/>
      </c>
      <c r="P61" s="68"/>
      <c r="Q61" s="69"/>
      <c r="R61" s="69"/>
      <c r="S61" s="66"/>
      <c r="T61" s="66"/>
    </row>
    <row r="62" spans="1:20">
      <c r="A62" s="63"/>
      <c r="B62" s="63"/>
      <c r="C62" s="140"/>
      <c r="D62" s="141"/>
      <c r="E62" s="85"/>
      <c r="F62" s="87"/>
      <c r="G62" s="87"/>
      <c r="H62" s="41"/>
      <c r="I62" s="66"/>
      <c r="J62" s="67"/>
      <c r="K62" s="66"/>
      <c r="L62" s="144"/>
      <c r="M62" s="144"/>
      <c r="N62" s="144"/>
      <c r="O62" s="67" t="str">
        <f>IF(C62="","",VLOOKUP(C62,[1]常用辅料信息表!$E$1:$H$65536,4,FALSE))</f>
        <v/>
      </c>
      <c r="P62" s="68"/>
      <c r="Q62" s="69"/>
      <c r="R62" s="69"/>
      <c r="S62" s="66"/>
      <c r="T62" s="66"/>
    </row>
    <row r="63" spans="1:20">
      <c r="A63" s="63"/>
      <c r="B63" s="63"/>
      <c r="C63" s="140"/>
      <c r="D63" s="141"/>
      <c r="E63" s="85"/>
      <c r="F63" s="86"/>
      <c r="G63" s="86"/>
      <c r="H63" s="41"/>
      <c r="I63" s="66"/>
      <c r="J63" s="67"/>
      <c r="K63" s="66"/>
      <c r="L63" s="144"/>
      <c r="M63" s="144"/>
      <c r="N63" s="144"/>
      <c r="O63" s="67" t="str">
        <f>IF(C63="","",VLOOKUP(C63,[1]常用辅料信息表!$E$1:$H$65536,4,FALSE))</f>
        <v/>
      </c>
      <c r="P63" s="68"/>
      <c r="Q63" s="69"/>
      <c r="R63" s="69"/>
      <c r="S63" s="66"/>
      <c r="T63" s="66"/>
    </row>
    <row r="64" spans="1:20">
      <c r="A64" s="63"/>
      <c r="B64" s="63"/>
      <c r="C64" s="140"/>
      <c r="D64" s="141"/>
      <c r="E64" s="85"/>
      <c r="F64" s="87"/>
      <c r="G64" s="87"/>
      <c r="H64" s="41"/>
      <c r="I64" s="66"/>
      <c r="J64" s="67"/>
      <c r="K64" s="66"/>
      <c r="L64" s="144"/>
      <c r="M64" s="144"/>
      <c r="N64" s="144"/>
      <c r="O64" s="67" t="str">
        <f>IF(C64="","",VLOOKUP(C64,[1]常用辅料信息表!$E$1:$H$65536,4,FALSE))</f>
        <v/>
      </c>
      <c r="P64" s="68"/>
      <c r="Q64" s="69"/>
      <c r="R64" s="69"/>
      <c r="S64" s="66"/>
      <c r="T64" s="66"/>
    </row>
    <row r="65" spans="1:20">
      <c r="A65" s="63"/>
      <c r="B65" s="63"/>
      <c r="C65" s="140"/>
      <c r="D65" s="141"/>
      <c r="E65" s="85"/>
      <c r="F65" s="86"/>
      <c r="G65" s="86"/>
      <c r="H65" s="41"/>
      <c r="I65" s="66"/>
      <c r="J65" s="67"/>
      <c r="K65" s="66"/>
      <c r="L65" s="144"/>
      <c r="M65" s="144"/>
      <c r="N65" s="144"/>
      <c r="O65" s="67" t="str">
        <f>IF(C65="","",VLOOKUP(C65,[1]常用辅料信息表!$E$1:$H$65536,4,FALSE))</f>
        <v/>
      </c>
      <c r="P65" s="68"/>
      <c r="Q65" s="69"/>
      <c r="R65" s="69"/>
      <c r="S65" s="66"/>
      <c r="T65" s="66"/>
    </row>
    <row r="66" spans="1:20">
      <c r="A66" s="63"/>
      <c r="B66" s="63"/>
      <c r="C66" s="140"/>
      <c r="D66" s="141"/>
      <c r="E66" s="85"/>
      <c r="F66" s="86"/>
      <c r="G66" s="86"/>
      <c r="H66" s="41"/>
      <c r="I66" s="66"/>
      <c r="J66" s="67"/>
      <c r="K66" s="66"/>
      <c r="L66" s="144"/>
      <c r="M66" s="144"/>
      <c r="N66" s="144"/>
      <c r="O66" s="67" t="str">
        <f>IF(C66="","",VLOOKUP(C66,[1]常用辅料信息表!$E$1:$H$65536,4,FALSE))</f>
        <v/>
      </c>
      <c r="P66" s="68"/>
      <c r="Q66" s="69"/>
      <c r="R66" s="69"/>
      <c r="S66" s="66"/>
      <c r="T66" s="66"/>
    </row>
    <row r="67" spans="1:20">
      <c r="A67" s="63"/>
      <c r="B67" s="63"/>
      <c r="C67" s="140"/>
      <c r="D67" s="141"/>
      <c r="E67" s="85"/>
      <c r="F67" s="86"/>
      <c r="G67" s="86"/>
      <c r="H67" s="41"/>
      <c r="I67" s="66"/>
      <c r="J67" s="67"/>
      <c r="K67" s="66"/>
      <c r="L67" s="144"/>
      <c r="M67" s="144"/>
      <c r="N67" s="144"/>
      <c r="O67" s="67" t="str">
        <f>IF(C67="","",VLOOKUP(C67,[1]常用辅料信息表!$E$1:$H$65536,4,FALSE))</f>
        <v/>
      </c>
      <c r="P67" s="68"/>
      <c r="Q67" s="69"/>
      <c r="R67" s="69"/>
      <c r="S67" s="66"/>
      <c r="T67" s="66"/>
    </row>
    <row r="68" spans="1:20">
      <c r="A68" s="63"/>
      <c r="B68" s="63"/>
      <c r="C68" s="140"/>
      <c r="D68" s="141"/>
      <c r="E68" s="85"/>
      <c r="F68" s="87"/>
      <c r="G68" s="87"/>
      <c r="H68" s="41"/>
      <c r="I68" s="66"/>
      <c r="J68" s="67"/>
      <c r="K68" s="66"/>
      <c r="L68" s="144"/>
      <c r="M68" s="144"/>
      <c r="N68" s="144"/>
      <c r="O68" s="67" t="str">
        <f>IF(C68="","",VLOOKUP(C68,[1]常用辅料信息表!$E$1:$H$65536,4,FALSE))</f>
        <v/>
      </c>
      <c r="P68" s="68"/>
      <c r="Q68" s="69"/>
      <c r="R68" s="69"/>
      <c r="S68" s="66"/>
      <c r="T68" s="66"/>
    </row>
    <row r="69" spans="1:20">
      <c r="A69" s="63"/>
      <c r="B69" s="63"/>
      <c r="C69" s="140"/>
      <c r="D69" s="141"/>
      <c r="E69" s="85"/>
      <c r="F69" s="87"/>
      <c r="G69" s="87"/>
      <c r="H69" s="41"/>
      <c r="I69" s="66"/>
      <c r="J69" s="67"/>
      <c r="K69" s="66"/>
      <c r="L69" s="144"/>
      <c r="M69" s="144"/>
      <c r="N69" s="144"/>
      <c r="O69" s="67" t="str">
        <f>IF(C69="","",VLOOKUP(C69,[1]常用辅料信息表!$E$1:$H$65536,4,FALSE))</f>
        <v/>
      </c>
      <c r="P69" s="68"/>
      <c r="Q69" s="69"/>
      <c r="R69" s="69"/>
      <c r="S69" s="66"/>
      <c r="T69" s="66"/>
    </row>
  </sheetData>
  <sheetCalcPr fullCalcOnLoad="1"/>
  <mergeCells count="157">
    <mergeCell ref="M4:N4"/>
    <mergeCell ref="P5:T5"/>
    <mergeCell ref="H2:I2"/>
    <mergeCell ref="A1:T1"/>
    <mergeCell ref="M2:N2"/>
    <mergeCell ref="A3:H3"/>
    <mergeCell ref="I3:O3"/>
    <mergeCell ref="P3:T3"/>
    <mergeCell ref="A5:B5"/>
    <mergeCell ref="C5:D5"/>
    <mergeCell ref="E5:F5"/>
    <mergeCell ref="G5:H5"/>
    <mergeCell ref="M5:N5"/>
    <mergeCell ref="A8:B8"/>
    <mergeCell ref="G8:H8"/>
    <mergeCell ref="F2:G2"/>
    <mergeCell ref="K6:L6"/>
    <mergeCell ref="M6:N6"/>
    <mergeCell ref="S2:T2"/>
    <mergeCell ref="A4:B4"/>
    <mergeCell ref="C4:D4"/>
    <mergeCell ref="E4:F4"/>
    <mergeCell ref="G4:H4"/>
    <mergeCell ref="A6:B6"/>
    <mergeCell ref="C6:D6"/>
    <mergeCell ref="E6:F6"/>
    <mergeCell ref="G6:H6"/>
    <mergeCell ref="I6:J6"/>
    <mergeCell ref="K7:L7"/>
    <mergeCell ref="D2:E2"/>
    <mergeCell ref="I8:O8"/>
    <mergeCell ref="P8:T8"/>
    <mergeCell ref="M7:N7"/>
    <mergeCell ref="P6:T6"/>
    <mergeCell ref="A7:B7"/>
    <mergeCell ref="C7:D7"/>
    <mergeCell ref="E7:F7"/>
    <mergeCell ref="G7:H7"/>
    <mergeCell ref="P7:T7"/>
    <mergeCell ref="E9:F9"/>
    <mergeCell ref="G9:H9"/>
    <mergeCell ref="I9:J9"/>
    <mergeCell ref="K9:L9"/>
    <mergeCell ref="R12:T12"/>
    <mergeCell ref="C8:D8"/>
    <mergeCell ref="E8:F8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G11:H11"/>
    <mergeCell ref="I11:J11"/>
    <mergeCell ref="K11:L11"/>
    <mergeCell ref="M11:N11"/>
    <mergeCell ref="A13:Q13"/>
    <mergeCell ref="P11:T11"/>
    <mergeCell ref="A30:C30"/>
    <mergeCell ref="C12:D12"/>
    <mergeCell ref="E12:F12"/>
    <mergeCell ref="G12:H12"/>
    <mergeCell ref="I12:J12"/>
    <mergeCell ref="K12:L12"/>
    <mergeCell ref="P9:T9"/>
    <mergeCell ref="P10:T10"/>
    <mergeCell ref="R13:S13"/>
    <mergeCell ref="A21:C21"/>
    <mergeCell ref="A22:P22"/>
    <mergeCell ref="Q22:S22"/>
    <mergeCell ref="M12:N12"/>
    <mergeCell ref="A11:B11"/>
    <mergeCell ref="C11:D11"/>
    <mergeCell ref="E11:F11"/>
    <mergeCell ref="A32:T32"/>
    <mergeCell ref="C33:D33"/>
    <mergeCell ref="L33:N33"/>
    <mergeCell ref="C34:D34"/>
    <mergeCell ref="L34:N34"/>
    <mergeCell ref="C35:D35"/>
    <mergeCell ref="L35:N35"/>
    <mergeCell ref="C36:D36"/>
    <mergeCell ref="L36:N36"/>
    <mergeCell ref="C37:D37"/>
    <mergeCell ref="L37:N37"/>
    <mergeCell ref="C38:D38"/>
    <mergeCell ref="L38:N38"/>
    <mergeCell ref="C39:D39"/>
    <mergeCell ref="L39:N39"/>
    <mergeCell ref="C40:D40"/>
    <mergeCell ref="L40:N40"/>
    <mergeCell ref="C41:D41"/>
    <mergeCell ref="L41:N41"/>
    <mergeCell ref="C42:D42"/>
    <mergeCell ref="L42:N42"/>
    <mergeCell ref="C43:D43"/>
    <mergeCell ref="L43:N43"/>
    <mergeCell ref="C44:D44"/>
    <mergeCell ref="L44:N44"/>
    <mergeCell ref="C45:D45"/>
    <mergeCell ref="L45:N45"/>
    <mergeCell ref="C46:D46"/>
    <mergeCell ref="L46:N46"/>
    <mergeCell ref="C47:D47"/>
    <mergeCell ref="L47:N47"/>
    <mergeCell ref="C48:D48"/>
    <mergeCell ref="L48:N48"/>
    <mergeCell ref="C49:D49"/>
    <mergeCell ref="L49:N49"/>
    <mergeCell ref="C50:D50"/>
    <mergeCell ref="L50:N50"/>
    <mergeCell ref="C51:D51"/>
    <mergeCell ref="L51:N51"/>
    <mergeCell ref="C52:D52"/>
    <mergeCell ref="L52:N52"/>
    <mergeCell ref="C53:D53"/>
    <mergeCell ref="L53:N53"/>
    <mergeCell ref="C54:D54"/>
    <mergeCell ref="L54:N54"/>
    <mergeCell ref="C55:D55"/>
    <mergeCell ref="L55:N55"/>
    <mergeCell ref="C56:D56"/>
    <mergeCell ref="L56:N56"/>
    <mergeCell ref="L64:N64"/>
    <mergeCell ref="L65:N65"/>
    <mergeCell ref="L66:N66"/>
    <mergeCell ref="C57:D57"/>
    <mergeCell ref="L57:N57"/>
    <mergeCell ref="C58:D58"/>
    <mergeCell ref="L58:N58"/>
    <mergeCell ref="A59:T59"/>
    <mergeCell ref="C60:D60"/>
    <mergeCell ref="L60:N60"/>
    <mergeCell ref="A12:B12"/>
    <mergeCell ref="L67:N67"/>
    <mergeCell ref="L68:N68"/>
    <mergeCell ref="L69:N69"/>
    <mergeCell ref="C61:D61"/>
    <mergeCell ref="C62:D62"/>
    <mergeCell ref="C63:D63"/>
    <mergeCell ref="C64:D64"/>
    <mergeCell ref="C65:D65"/>
    <mergeCell ref="C66:D66"/>
    <mergeCell ref="I7:J7"/>
    <mergeCell ref="P4:T4"/>
    <mergeCell ref="I4:J5"/>
    <mergeCell ref="K4:L5"/>
    <mergeCell ref="C68:D68"/>
    <mergeCell ref="C69:D69"/>
    <mergeCell ref="C67:D67"/>
    <mergeCell ref="L61:N61"/>
    <mergeCell ref="L62:N62"/>
    <mergeCell ref="L63:N6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E2" sqref="E2"/>
    </sheetView>
  </sheetViews>
  <sheetFormatPr defaultColWidth="20.5" defaultRowHeight="13.5"/>
  <cols>
    <col min="1" max="16384" width="20.5" style="93"/>
  </cols>
  <sheetData>
    <row r="1" spans="1:9">
      <c r="A1" s="88" t="s">
        <v>57</v>
      </c>
      <c r="B1" s="88" t="s">
        <v>58</v>
      </c>
      <c r="C1" s="88" t="s">
        <v>59</v>
      </c>
      <c r="D1" s="89" t="s">
        <v>60</v>
      </c>
      <c r="E1" s="90" t="s">
        <v>61</v>
      </c>
      <c r="F1" s="89" t="s">
        <v>62</v>
      </c>
      <c r="G1" s="91" t="s">
        <v>63</v>
      </c>
      <c r="H1" s="89" t="s">
        <v>64</v>
      </c>
      <c r="I1" s="92" t="s">
        <v>65</v>
      </c>
    </row>
    <row r="2" spans="1:9">
      <c r="A2" s="94">
        <v>40964</v>
      </c>
      <c r="B2" s="95" t="s">
        <v>66</v>
      </c>
      <c r="C2" s="92" t="s">
        <v>67</v>
      </c>
      <c r="D2" s="92" t="s">
        <v>67</v>
      </c>
      <c r="E2" s="96" t="s">
        <v>68</v>
      </c>
      <c r="F2" s="93">
        <v>1500</v>
      </c>
      <c r="G2" s="93">
        <v>1</v>
      </c>
      <c r="H2" s="92" t="s">
        <v>69</v>
      </c>
    </row>
    <row r="3" spans="1:9">
      <c r="A3" s="94">
        <v>40964</v>
      </c>
      <c r="B3" s="95" t="s">
        <v>66</v>
      </c>
      <c r="C3" s="92" t="s">
        <v>67</v>
      </c>
      <c r="D3" s="92" t="s">
        <v>67</v>
      </c>
      <c r="E3" s="96" t="s">
        <v>70</v>
      </c>
      <c r="F3" s="93">
        <v>3000</v>
      </c>
      <c r="G3" s="93">
        <v>2</v>
      </c>
      <c r="H3" s="92" t="s">
        <v>69</v>
      </c>
    </row>
    <row r="4" spans="1:9">
      <c r="A4" s="94">
        <v>40964</v>
      </c>
      <c r="B4" s="95" t="s">
        <v>66</v>
      </c>
      <c r="C4" s="92" t="s">
        <v>67</v>
      </c>
      <c r="D4" s="92" t="s">
        <v>67</v>
      </c>
      <c r="E4" s="96">
        <v>403</v>
      </c>
      <c r="F4" s="93">
        <v>3000</v>
      </c>
      <c r="G4" s="93">
        <v>1</v>
      </c>
      <c r="H4" s="92" t="s">
        <v>71</v>
      </c>
    </row>
    <row r="5" spans="1:9">
      <c r="A5" s="94">
        <v>40964</v>
      </c>
      <c r="B5" s="95" t="s">
        <v>66</v>
      </c>
      <c r="C5" s="92" t="s">
        <v>67</v>
      </c>
      <c r="D5" s="92" t="s">
        <v>67</v>
      </c>
      <c r="E5" s="93">
        <v>302</v>
      </c>
      <c r="F5" s="93">
        <v>3000</v>
      </c>
      <c r="G5" s="93">
        <v>1</v>
      </c>
      <c r="H5" s="92" t="s">
        <v>71</v>
      </c>
    </row>
    <row r="6" spans="1:9">
      <c r="A6" s="94">
        <v>40964</v>
      </c>
      <c r="B6" s="95" t="s">
        <v>66</v>
      </c>
      <c r="C6" s="92" t="s">
        <v>67</v>
      </c>
      <c r="D6" s="92" t="s">
        <v>67</v>
      </c>
      <c r="E6" s="97">
        <v>209</v>
      </c>
      <c r="F6" s="93">
        <v>500</v>
      </c>
      <c r="G6" s="93">
        <v>1</v>
      </c>
      <c r="H6" s="92" t="s">
        <v>71</v>
      </c>
    </row>
    <row r="7" spans="1:9">
      <c r="A7" s="94">
        <v>40964</v>
      </c>
      <c r="B7" s="95" t="s">
        <v>66</v>
      </c>
      <c r="C7" s="92" t="s">
        <v>67</v>
      </c>
      <c r="D7" s="92" t="s">
        <v>67</v>
      </c>
      <c r="E7" s="93">
        <v>202</v>
      </c>
      <c r="F7" s="93">
        <v>3000</v>
      </c>
      <c r="G7" s="93">
        <v>1</v>
      </c>
      <c r="H7" s="92" t="s">
        <v>71</v>
      </c>
    </row>
    <row r="8" spans="1:9">
      <c r="A8" s="94">
        <v>40964</v>
      </c>
      <c r="B8" s="95" t="s">
        <v>66</v>
      </c>
      <c r="C8" s="92" t="s">
        <v>67</v>
      </c>
      <c r="D8" s="92" t="s">
        <v>67</v>
      </c>
      <c r="E8" s="97">
        <v>163</v>
      </c>
      <c r="F8" s="93">
        <v>1500</v>
      </c>
      <c r="G8" s="93">
        <v>1</v>
      </c>
      <c r="H8" s="92" t="s">
        <v>71</v>
      </c>
    </row>
    <row r="9" spans="1:9">
      <c r="A9" s="94">
        <v>40964</v>
      </c>
      <c r="B9" s="95" t="s">
        <v>66</v>
      </c>
      <c r="C9" s="98" t="s">
        <v>72</v>
      </c>
      <c r="D9" s="99" t="s">
        <v>7</v>
      </c>
      <c r="E9" s="99" t="s">
        <v>73</v>
      </c>
      <c r="G9" s="100">
        <v>10</v>
      </c>
      <c r="H9" s="92" t="s">
        <v>74</v>
      </c>
    </row>
    <row r="10" spans="1:9">
      <c r="A10" s="94">
        <v>40964</v>
      </c>
      <c r="B10" s="95" t="s">
        <v>66</v>
      </c>
      <c r="C10" s="98" t="s">
        <v>75</v>
      </c>
      <c r="D10" s="101" t="s">
        <v>76</v>
      </c>
      <c r="E10" s="102" t="s">
        <v>77</v>
      </c>
      <c r="G10" s="100">
        <v>9.9</v>
      </c>
      <c r="H10" s="92" t="s">
        <v>78</v>
      </c>
    </row>
    <row r="11" spans="1:9">
      <c r="A11" s="94">
        <v>40964</v>
      </c>
      <c r="B11" s="95" t="s">
        <v>66</v>
      </c>
      <c r="C11" s="98" t="s">
        <v>75</v>
      </c>
      <c r="D11" s="101" t="s">
        <v>79</v>
      </c>
      <c r="E11" s="102" t="s">
        <v>80</v>
      </c>
      <c r="G11" s="100">
        <v>9.8000000000000007</v>
      </c>
      <c r="H11" s="92" t="s">
        <v>78</v>
      </c>
    </row>
    <row r="12" spans="1:9">
      <c r="A12" s="94">
        <v>40964</v>
      </c>
      <c r="B12" s="95" t="s">
        <v>66</v>
      </c>
      <c r="C12" s="98" t="s">
        <v>81</v>
      </c>
      <c r="D12" s="99" t="s">
        <v>82</v>
      </c>
      <c r="E12" s="103" t="s">
        <v>83</v>
      </c>
      <c r="G12" s="100">
        <v>9.6999999999999993</v>
      </c>
      <c r="H12" s="92" t="s">
        <v>84</v>
      </c>
    </row>
    <row r="13" spans="1:9">
      <c r="A13" s="94">
        <v>40964</v>
      </c>
      <c r="B13" s="95" t="s">
        <v>66</v>
      </c>
      <c r="C13" s="98" t="s">
        <v>81</v>
      </c>
      <c r="D13" s="104" t="s">
        <v>85</v>
      </c>
      <c r="E13" s="99" t="s">
        <v>86</v>
      </c>
      <c r="G13" s="100">
        <v>9.6</v>
      </c>
      <c r="H13" s="92" t="s">
        <v>84</v>
      </c>
    </row>
    <row r="14" spans="1:9">
      <c r="A14" s="94">
        <v>40964</v>
      </c>
      <c r="B14" s="95" t="s">
        <v>66</v>
      </c>
      <c r="C14" s="98" t="s">
        <v>81</v>
      </c>
      <c r="D14" s="101" t="s">
        <v>87</v>
      </c>
      <c r="E14" s="105" t="s">
        <v>88</v>
      </c>
      <c r="G14" s="100">
        <v>9.5</v>
      </c>
      <c r="H14" s="92" t="s">
        <v>89</v>
      </c>
    </row>
    <row r="15" spans="1:9">
      <c r="A15" s="94">
        <v>40964</v>
      </c>
      <c r="B15" s="95" t="s">
        <v>66</v>
      </c>
      <c r="C15" s="98" t="s">
        <v>81</v>
      </c>
      <c r="D15" s="101" t="s">
        <v>90</v>
      </c>
      <c r="E15" s="105" t="s">
        <v>91</v>
      </c>
      <c r="G15" s="100">
        <v>9.4</v>
      </c>
      <c r="H15" s="92" t="s">
        <v>92</v>
      </c>
    </row>
    <row r="16" spans="1:9">
      <c r="A16" s="94">
        <v>40964</v>
      </c>
      <c r="B16" s="95" t="s">
        <v>66</v>
      </c>
      <c r="C16" s="98" t="s">
        <v>81</v>
      </c>
      <c r="D16" s="101" t="s">
        <v>93</v>
      </c>
      <c r="E16" s="106" t="s">
        <v>94</v>
      </c>
      <c r="G16" s="100">
        <v>9.3000000000000007</v>
      </c>
      <c r="H16" s="92" t="s">
        <v>95</v>
      </c>
    </row>
    <row r="17" spans="1:8">
      <c r="A17" s="94">
        <v>40964</v>
      </c>
      <c r="B17" s="95" t="s">
        <v>66</v>
      </c>
      <c r="C17" s="98" t="s">
        <v>81</v>
      </c>
      <c r="D17" s="101" t="s">
        <v>93</v>
      </c>
      <c r="E17" s="101" t="s">
        <v>96</v>
      </c>
      <c r="G17" s="100">
        <v>9.1999999999999993</v>
      </c>
      <c r="H17" s="92" t="s">
        <v>95</v>
      </c>
    </row>
    <row r="18" spans="1:8">
      <c r="A18" s="94">
        <v>40964</v>
      </c>
      <c r="B18" s="95" t="s">
        <v>66</v>
      </c>
      <c r="C18" s="98" t="s">
        <v>97</v>
      </c>
      <c r="D18" s="101" t="s">
        <v>98</v>
      </c>
      <c r="E18" s="101" t="s">
        <v>99</v>
      </c>
      <c r="G18" s="100">
        <v>9.1</v>
      </c>
      <c r="H18" s="92" t="s">
        <v>100</v>
      </c>
    </row>
    <row r="19" spans="1:8">
      <c r="A19" s="94">
        <v>40964</v>
      </c>
      <c r="B19" s="95" t="s">
        <v>66</v>
      </c>
      <c r="C19" s="98" t="s">
        <v>97</v>
      </c>
      <c r="D19" s="104" t="s">
        <v>101</v>
      </c>
      <c r="E19" s="105" t="s">
        <v>102</v>
      </c>
      <c r="G19" s="100">
        <v>9</v>
      </c>
      <c r="H19" s="92" t="s">
        <v>100</v>
      </c>
    </row>
    <row r="20" spans="1:8">
      <c r="A20" s="94">
        <v>40964</v>
      </c>
      <c r="B20" s="95" t="s">
        <v>66</v>
      </c>
      <c r="C20" s="98" t="s">
        <v>97</v>
      </c>
      <c r="D20" s="99" t="s">
        <v>103</v>
      </c>
      <c r="E20" s="107" t="s">
        <v>104</v>
      </c>
      <c r="G20" s="100">
        <v>8.9</v>
      </c>
      <c r="H20" s="92" t="s">
        <v>95</v>
      </c>
    </row>
    <row r="21" spans="1:8">
      <c r="A21" s="94">
        <v>40964</v>
      </c>
      <c r="B21" s="95" t="s">
        <v>66</v>
      </c>
      <c r="C21" s="98" t="s">
        <v>97</v>
      </c>
      <c r="D21" s="99" t="s">
        <v>105</v>
      </c>
      <c r="E21" s="99" t="s">
        <v>106</v>
      </c>
      <c r="G21" s="100">
        <v>8.8000000000000007</v>
      </c>
      <c r="H21" s="92" t="s">
        <v>100</v>
      </c>
    </row>
    <row r="22" spans="1:8">
      <c r="A22" s="94">
        <v>40964</v>
      </c>
      <c r="B22" s="95" t="s">
        <v>66</v>
      </c>
      <c r="C22" s="98" t="s">
        <v>107</v>
      </c>
      <c r="D22" s="99" t="s">
        <v>108</v>
      </c>
      <c r="E22" s="99" t="s">
        <v>109</v>
      </c>
      <c r="G22" s="100">
        <v>8.6</v>
      </c>
      <c r="H22" s="92" t="s">
        <v>110</v>
      </c>
    </row>
    <row r="23" spans="1:8">
      <c r="A23" s="94">
        <v>40964</v>
      </c>
      <c r="B23" s="95" t="s">
        <v>66</v>
      </c>
      <c r="C23" s="98" t="s">
        <v>107</v>
      </c>
      <c r="D23" s="99" t="s">
        <v>111</v>
      </c>
      <c r="E23" s="99"/>
      <c r="G23" s="100">
        <v>8.5000000000000107</v>
      </c>
      <c r="H23" s="92" t="s">
        <v>110</v>
      </c>
    </row>
    <row r="24" spans="1:8">
      <c r="A24" s="94">
        <v>40964</v>
      </c>
      <c r="B24" s="95" t="s">
        <v>66</v>
      </c>
      <c r="C24" s="98" t="s">
        <v>107</v>
      </c>
      <c r="D24" s="99" t="s">
        <v>112</v>
      </c>
      <c r="E24" s="99"/>
      <c r="G24" s="100">
        <v>8.4000000000000092</v>
      </c>
      <c r="H24" s="92" t="s">
        <v>113</v>
      </c>
    </row>
    <row r="25" spans="1:8">
      <c r="A25" s="94">
        <v>40964</v>
      </c>
      <c r="B25" s="95" t="s">
        <v>66</v>
      </c>
      <c r="C25" s="98" t="s">
        <v>107</v>
      </c>
      <c r="D25" s="99" t="s">
        <v>114</v>
      </c>
      <c r="E25" s="99"/>
      <c r="G25" s="100">
        <v>8.3000000000000096</v>
      </c>
      <c r="H25" s="92" t="s">
        <v>113</v>
      </c>
    </row>
    <row r="26" spans="1:8">
      <c r="D26" s="99"/>
      <c r="F26" s="9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生产通知单模版</vt:lpstr>
      <vt:lpstr>常用辅料信息表</vt:lpstr>
      <vt:lpstr>Sheet3</vt:lpstr>
    </vt:vector>
  </TitlesOfParts>
  <Company>WwW.YlmF.CoM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叶落风无痕</cp:lastModifiedBy>
  <dcterms:created xsi:type="dcterms:W3CDTF">2013-07-23T01:58:08Z</dcterms:created>
  <dcterms:modified xsi:type="dcterms:W3CDTF">2013-11-14T03:40:41Z</dcterms:modified>
</cp:coreProperties>
</file>