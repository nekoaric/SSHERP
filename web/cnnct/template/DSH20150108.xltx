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90" windowWidth="15570" windowHeight="8610" tabRatio="458" activeTab="1"/>
  </bookViews>
  <sheets>
    <sheet name="填写过程中的注意事项" sheetId="6" r:id="rId1"/>
    <sheet name="生产通知单模版" sheetId="1" r:id="rId2"/>
    <sheet name="工厂名和客户品牌的规范叫法" sheetId="5" r:id="rId3"/>
  </sheets>
  <definedNames>
    <definedName name="_xlnm.Print_Area" localSheetId="1">生产通知单模版!$A$1:$T$69</definedName>
  </definedNames>
  <calcPr calcId="124519"/>
</workbook>
</file>

<file path=xl/calcChain.xml><?xml version="1.0" encoding="utf-8"?>
<calcChain xmlns="http://schemas.openxmlformats.org/spreadsheetml/2006/main">
  <c r="D25" i="1"/>
  <c r="E25"/>
  <c r="F25"/>
  <c r="G25"/>
  <c r="H25"/>
  <c r="I25"/>
  <c r="J25"/>
  <c r="K25"/>
  <c r="L25"/>
  <c r="M25"/>
  <c r="N25"/>
  <c r="O25"/>
  <c r="P25"/>
  <c r="Q25"/>
  <c r="R25"/>
  <c r="S25"/>
  <c r="D26"/>
  <c r="E26"/>
  <c r="F26"/>
  <c r="G26"/>
  <c r="H26"/>
  <c r="I26"/>
  <c r="J26"/>
  <c r="K26"/>
  <c r="L26"/>
  <c r="M26"/>
  <c r="N26"/>
  <c r="O26"/>
  <c r="P26"/>
  <c r="Q26"/>
  <c r="R26"/>
  <c r="S26"/>
  <c r="D27"/>
  <c r="E27"/>
  <c r="F27"/>
  <c r="G27"/>
  <c r="H27"/>
  <c r="I27"/>
  <c r="J27"/>
  <c r="K27"/>
  <c r="L27"/>
  <c r="M27"/>
  <c r="N27"/>
  <c r="O27"/>
  <c r="P27"/>
  <c r="Q27"/>
  <c r="R27"/>
  <c r="S27"/>
  <c r="D28"/>
  <c r="E28"/>
  <c r="F28"/>
  <c r="G28"/>
  <c r="H28"/>
  <c r="I28"/>
  <c r="J28"/>
  <c r="K28"/>
  <c r="L28"/>
  <c r="M28"/>
  <c r="N28"/>
  <c r="O28"/>
  <c r="P28"/>
  <c r="Q28"/>
  <c r="R28"/>
  <c r="S28"/>
  <c r="D29"/>
  <c r="E29"/>
  <c r="F29"/>
  <c r="G29"/>
  <c r="H29"/>
  <c r="I29"/>
  <c r="J29"/>
  <c r="K29"/>
  <c r="L29"/>
  <c r="M29"/>
  <c r="N29"/>
  <c r="O29"/>
  <c r="P29"/>
  <c r="Q29"/>
  <c r="R29"/>
  <c r="S29"/>
  <c r="E24"/>
  <c r="F24"/>
  <c r="G24"/>
  <c r="H24"/>
  <c r="I24"/>
  <c r="J24"/>
  <c r="K24"/>
  <c r="L24"/>
  <c r="M24"/>
  <c r="N24"/>
  <c r="O24"/>
  <c r="P24"/>
  <c r="Q24"/>
  <c r="R24"/>
  <c r="S24"/>
  <c r="D24"/>
  <c r="J68" l="1"/>
  <c r="J67"/>
  <c r="J66"/>
  <c r="J65"/>
  <c r="J64"/>
  <c r="J63"/>
  <c r="J62"/>
  <c r="J61"/>
  <c r="J60"/>
  <c r="H68"/>
  <c r="H67"/>
  <c r="H66"/>
  <c r="H65"/>
  <c r="H64"/>
  <c r="H63"/>
  <c r="H62"/>
  <c r="H61"/>
  <c r="H60"/>
  <c r="I1"/>
  <c r="F1"/>
  <c r="H31"/>
  <c r="E31"/>
  <c r="C24"/>
  <c r="C25"/>
  <c r="C26"/>
  <c r="T17" l="1"/>
  <c r="T18"/>
  <c r="T19"/>
  <c r="T20"/>
  <c r="T16"/>
  <c r="C29"/>
  <c r="B29"/>
  <c r="A29"/>
  <c r="C28"/>
  <c r="B28"/>
  <c r="A28"/>
  <c r="C27"/>
  <c r="B27"/>
  <c r="A27"/>
  <c r="B26"/>
  <c r="A26"/>
  <c r="B25"/>
  <c r="A25"/>
  <c r="B24"/>
  <c r="A24"/>
  <c r="S23"/>
  <c r="R23"/>
  <c r="Q23"/>
  <c r="P23"/>
  <c r="O23"/>
  <c r="N23"/>
  <c r="M23"/>
  <c r="L23"/>
  <c r="K23"/>
  <c r="J23"/>
  <c r="I23"/>
  <c r="H23"/>
  <c r="G23"/>
  <c r="F23"/>
  <c r="E23"/>
  <c r="D23"/>
  <c r="S21"/>
  <c r="R21"/>
  <c r="Q21"/>
  <c r="P21"/>
  <c r="O21"/>
  <c r="N21"/>
  <c r="M21"/>
  <c r="L21"/>
  <c r="K21"/>
  <c r="J21"/>
  <c r="I21"/>
  <c r="H21"/>
  <c r="G21"/>
  <c r="F21"/>
  <c r="E21"/>
  <c r="D21"/>
  <c r="T15"/>
  <c r="T26" l="1"/>
  <c r="T29"/>
  <c r="T28"/>
  <c r="T25"/>
  <c r="T27"/>
  <c r="I30"/>
  <c r="T21"/>
  <c r="T13" s="1"/>
  <c r="Q30"/>
  <c r="E30"/>
  <c r="M30"/>
  <c r="H30"/>
  <c r="O30"/>
  <c r="F30"/>
  <c r="D30"/>
  <c r="L30"/>
  <c r="P30"/>
  <c r="G30"/>
  <c r="S30"/>
  <c r="N30"/>
  <c r="K30"/>
  <c r="J30"/>
  <c r="R30"/>
  <c r="T24"/>
  <c r="T30" l="1"/>
  <c r="S22" l="1"/>
  <c r="T22" s="1"/>
  <c r="H42"/>
  <c r="J42" s="1"/>
  <c r="H46"/>
  <c r="J46" s="1"/>
  <c r="H50"/>
  <c r="J50" s="1"/>
  <c r="H54"/>
  <c r="J54" s="1"/>
  <c r="H40"/>
  <c r="J40" s="1"/>
  <c r="H36"/>
  <c r="J36" s="1"/>
  <c r="H41"/>
  <c r="J41" s="1"/>
  <c r="H45"/>
  <c r="J45" s="1"/>
  <c r="H49"/>
  <c r="J49" s="1"/>
  <c r="H53"/>
  <c r="J53" s="1"/>
  <c r="H57"/>
  <c r="J57" s="1"/>
  <c r="H37"/>
  <c r="J37" s="1"/>
  <c r="H33"/>
  <c r="J33" s="1"/>
  <c r="H44"/>
  <c r="J44" s="1"/>
  <c r="H48"/>
  <c r="J48" s="1"/>
  <c r="H52"/>
  <c r="J52" s="1"/>
  <c r="H56"/>
  <c r="J56" s="1"/>
  <c r="H38"/>
  <c r="J38" s="1"/>
  <c r="H34"/>
  <c r="J34" s="1"/>
  <c r="H43"/>
  <c r="J43" s="1"/>
  <c r="H47"/>
  <c r="J47" s="1"/>
  <c r="H51"/>
  <c r="J51" s="1"/>
  <c r="H55"/>
  <c r="J55" s="1"/>
  <c r="H39"/>
  <c r="J39" s="1"/>
  <c r="H35"/>
  <c r="J35" s="1"/>
  <c r="K41" l="1"/>
  <c r="K57"/>
  <c r="K56"/>
  <c r="K54"/>
  <c r="K43"/>
  <c r="K40"/>
  <c r="K42"/>
  <c r="K51"/>
  <c r="K49"/>
  <c r="K33"/>
  <c r="K48"/>
  <c r="K45"/>
  <c r="K44"/>
  <c r="K39"/>
  <c r="K55"/>
  <c r="K38"/>
  <c r="K35"/>
  <c r="K34"/>
  <c r="K50"/>
  <c r="K37"/>
  <c r="K53"/>
  <c r="K36"/>
  <c r="K52"/>
  <c r="K47"/>
  <c r="K46"/>
</calcChain>
</file>

<file path=xl/comments1.xml><?xml version="1.0" encoding="utf-8"?>
<comments xmlns="http://schemas.openxmlformats.org/spreadsheetml/2006/main">
  <authors>
    <author>ZHU YUNHUI</author>
    <author>admin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外发地区一律用“其他”
</t>
        </r>
      </text>
    </comment>
    <comment ref="D2" authorId="1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全部这个颜色单元格都是日期格式，输入统一用 11-18，自动生成2013-11-18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一般面料缩率都是尺码缩小的，极少数有涨出现象。这种情况，请在重要提示里说明。</t>
        </r>
      </text>
    </comment>
    <comment ref="C12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admin:
</t>
        </r>
        <r>
          <rPr>
            <b/>
            <sz val="10"/>
            <color indexed="81"/>
            <rFont val="宋体"/>
            <family val="3"/>
            <charset val="134"/>
          </rPr>
          <t>不水洗的订单填写不水洗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  <comment ref="C14" authorId="0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</commentList>
</comments>
</file>

<file path=xl/sharedStrings.xml><?xml version="1.0" encoding="utf-8"?>
<sst xmlns="http://schemas.openxmlformats.org/spreadsheetml/2006/main" count="376" uniqueCount="301">
  <si>
    <t>区域</t>
  </si>
  <si>
    <t>制单日期</t>
  </si>
  <si>
    <t>制单员</t>
  </si>
  <si>
    <t>订单基本信息</t>
  </si>
  <si>
    <t>生产进度计划</t>
  </si>
  <si>
    <t>重要提示（可多项提示）</t>
    <phoneticPr fontId="5" type="noConversion"/>
  </si>
  <si>
    <t>面料</t>
  </si>
  <si>
    <t>合同号</t>
    <phoneticPr fontId="5" type="noConversion"/>
  </si>
  <si>
    <t>水洗工厂</t>
  </si>
  <si>
    <t>分单号(批次)</t>
    <phoneticPr fontId="5" type="noConversion"/>
  </si>
  <si>
    <t>后整工厂</t>
  </si>
  <si>
    <t xml:space="preserve">订单号PO </t>
    <phoneticPr fontId="5" type="noConversion"/>
  </si>
  <si>
    <t>客户/品牌</t>
    <phoneticPr fontId="5" type="noConversion"/>
  </si>
  <si>
    <t>审核记录</t>
  </si>
  <si>
    <t>款号</t>
    <phoneticPr fontId="5" type="noConversion"/>
  </si>
  <si>
    <t>计划审批</t>
    <phoneticPr fontId="5" type="noConversion"/>
  </si>
  <si>
    <t>计划审批日期</t>
  </si>
  <si>
    <t>品名</t>
    <phoneticPr fontId="5" type="noConversion"/>
  </si>
  <si>
    <t>总数</t>
  </si>
  <si>
    <t>采购审批</t>
    <phoneticPr fontId="5" type="noConversion"/>
  </si>
  <si>
    <t>采购审批日期</t>
  </si>
  <si>
    <t>产品分类</t>
  </si>
  <si>
    <t>技术审批</t>
    <phoneticPr fontId="5" type="noConversion"/>
  </si>
  <si>
    <t>技术审批日期</t>
  </si>
  <si>
    <t>贸易审批</t>
    <phoneticPr fontId="5" type="noConversion"/>
  </si>
  <si>
    <t>贸易审批日期</t>
  </si>
  <si>
    <t>总数验证</t>
    <phoneticPr fontId="5" type="noConversion"/>
  </si>
  <si>
    <t>国家</t>
  </si>
  <si>
    <t>颜色</t>
  </si>
  <si>
    <t>内长</t>
  </si>
  <si>
    <t>合计</t>
    <phoneticPr fontId="5" type="noConversion"/>
  </si>
  <si>
    <t>小计</t>
    <phoneticPr fontId="5" type="noConversion"/>
  </si>
  <si>
    <t>要求开裁数量明细</t>
  </si>
  <si>
    <t>加裁比例%（验证用）</t>
  </si>
  <si>
    <t>合计</t>
    <phoneticPr fontId="5" type="noConversion"/>
  </si>
  <si>
    <t>洗水工艺</t>
    <phoneticPr fontId="5" type="noConversion"/>
  </si>
  <si>
    <t>通知日期</t>
    <phoneticPr fontId="3" type="noConversion"/>
  </si>
  <si>
    <t>尾查期</t>
    <phoneticPr fontId="3" type="noConversion"/>
  </si>
  <si>
    <t>大货洗水流程</t>
    <phoneticPr fontId="3" type="noConversion"/>
  </si>
  <si>
    <t>FOB交期</t>
  </si>
  <si>
    <t>丝带色号</t>
    <phoneticPr fontId="3" type="noConversion"/>
  </si>
  <si>
    <t>缝制工厂</t>
    <phoneticPr fontId="3" type="noConversion"/>
  </si>
  <si>
    <t>缝制起始日期</t>
    <phoneticPr fontId="3" type="noConversion"/>
  </si>
  <si>
    <t>缝制交货日</t>
    <phoneticPr fontId="3" type="noConversion"/>
  </si>
  <si>
    <t>水洗交货日</t>
    <phoneticPr fontId="3" type="noConversion"/>
  </si>
  <si>
    <t>后整交货日</t>
    <phoneticPr fontId="3" type="noConversion"/>
  </si>
  <si>
    <t>跟单员</t>
    <phoneticPr fontId="3" type="noConversion"/>
  </si>
  <si>
    <t>出运方式</t>
    <phoneticPr fontId="3" type="noConversion"/>
  </si>
  <si>
    <t>水洗厂填写</t>
    <phoneticPr fontId="3" type="noConversion"/>
  </si>
  <si>
    <t xml:space="preserve">面料缩率J </t>
    <phoneticPr fontId="3" type="noConversion"/>
  </si>
  <si>
    <t xml:space="preserve">面料缩率W </t>
    <phoneticPr fontId="3" type="noConversion"/>
  </si>
  <si>
    <t>溢装</t>
    <phoneticPr fontId="5" type="noConversion"/>
  </si>
  <si>
    <t>短装</t>
    <phoneticPr fontId="5" type="noConversion"/>
  </si>
  <si>
    <t>工厂名的规范叫法</t>
    <phoneticPr fontId="3" type="noConversion"/>
  </si>
  <si>
    <t>客户/品牌的规范叫法</t>
    <phoneticPr fontId="3" type="noConversion"/>
  </si>
  <si>
    <t>序号</t>
    <phoneticPr fontId="23" type="noConversion"/>
  </si>
  <si>
    <t>具有唯一性的必填项例如通知单编号、订单号PO</t>
    <phoneticPr fontId="23" type="noConversion"/>
  </si>
  <si>
    <t>生产通知单编号的填写注意事项，格式为数值，不需要在编号前加0</t>
    <phoneticPr fontId="23" type="noConversion"/>
  </si>
  <si>
    <t>单元格的合并问题，如果订单数量中国家、颜色一致，需每个单元格复制填写，切勿合并，重要通知处也不需合并单元格</t>
    <phoneticPr fontId="3" type="noConversion"/>
  </si>
  <si>
    <t>国家、颜色在每个内长前需填写完整</t>
    <phoneticPr fontId="23" type="noConversion"/>
  </si>
  <si>
    <t>上传前需验证总数、加裁和订单数量明细中的的数值对比，±误差不超过1%</t>
    <phoneticPr fontId="3" type="noConversion"/>
  </si>
  <si>
    <t>订单数量数量明细     （宽度是根据我们客户尺码最多的设计的）</t>
    <phoneticPr fontId="3" type="noConversion"/>
  </si>
  <si>
    <t>如果不想让某些人看某些内容，操作方法：用与底色一样的颜色作为字体颜色。并另存为PDF格式文件，向对方提供PDF文件。</t>
  </si>
  <si>
    <t>单位</t>
    <phoneticPr fontId="5" type="noConversion"/>
  </si>
  <si>
    <r>
      <t>标准格式的生产通知单是一个EXCEL表格，</t>
    </r>
    <r>
      <rPr>
        <b/>
        <sz val="11"/>
        <color rgb="FFFF0000"/>
        <rFont val="宋体"/>
        <family val="3"/>
        <charset val="134"/>
        <scheme val="minor"/>
      </rPr>
      <t>要求其后缀.xlsx格式的文件！ 即2007版的EXCEL文件格式，请务必按这种格式保存文件。</t>
    </r>
    <phoneticPr fontId="23" type="noConversion"/>
  </si>
  <si>
    <t>一个EXCEL文件可以填写多个生产通知单表格,但是目前每次导入只能导入工作表标签第一位的这张表格，需要做多次导入，我们在9月15日前会增加一次性导入多个生产通知单的功能。</t>
    <phoneticPr fontId="23" type="noConversion"/>
  </si>
  <si>
    <t>生产通知单的必填项目，例如区域、FOB交期、尾查期、跟单员、通知单编号、订单号PO、客户/品牌、加裁比例、总数、缝制工厂、尺寸和具体数量。</t>
    <phoneticPr fontId="23" type="noConversion"/>
  </si>
  <si>
    <t>保存的文件名请统一为： TZD/年月/款号 。 其代表意义为“通知单+四位数年月+款号”。
例如：TZD-1407-12345-0001,意义为：通知单-14年7月-12345-0001款。</t>
    <phoneticPr fontId="3" type="noConversion"/>
  </si>
  <si>
    <t>注意事项</t>
    <phoneticPr fontId="23" type="noConversion"/>
  </si>
  <si>
    <t>请务必不要对“JDU 标准格式 生产通知单模板”做任何改动，如需修改必须通过系统管理员统一修改</t>
    <phoneticPr fontId="3" type="noConversion"/>
  </si>
  <si>
    <t>新增客户/品牌或工厂，需报备系统管理员</t>
    <phoneticPr fontId="23" type="noConversion"/>
  </si>
  <si>
    <t>请务必注意“JDU 标准格式 生产通知单模板”中的批注。（单元格右上方有红色三角）。</t>
    <phoneticPr fontId="3" type="noConversion"/>
  </si>
  <si>
    <t>打开标准格式的“生产通知单模板”</t>
    <phoneticPr fontId="3" type="noConversion"/>
  </si>
  <si>
    <t>点击</t>
    <phoneticPr fontId="3" type="noConversion"/>
  </si>
  <si>
    <t>Sela</t>
  </si>
  <si>
    <t>KIABI</t>
  </si>
  <si>
    <t>JOE</t>
  </si>
  <si>
    <t>AEO</t>
  </si>
  <si>
    <t>Dockers</t>
  </si>
  <si>
    <t>F21</t>
  </si>
  <si>
    <t>GAP KIDS</t>
  </si>
  <si>
    <t>GAP ON</t>
  </si>
  <si>
    <t>GAP OUTLET</t>
  </si>
  <si>
    <t>GIFTEX</t>
  </si>
  <si>
    <t>GYM</t>
  </si>
  <si>
    <t>Haddad</t>
  </si>
  <si>
    <t>JCP</t>
  </si>
  <si>
    <t>JNCO</t>
  </si>
  <si>
    <t>KK</t>
  </si>
  <si>
    <t>LANDS' END</t>
  </si>
  <si>
    <t>Levis</t>
  </si>
  <si>
    <t>LEVIS RT</t>
  </si>
  <si>
    <t>PEI/KIK</t>
  </si>
  <si>
    <t>TCP</t>
  </si>
  <si>
    <t>GU</t>
  </si>
  <si>
    <t>丰岛</t>
  </si>
  <si>
    <t>优衣库</t>
  </si>
  <si>
    <t>H&amp;M</t>
  </si>
  <si>
    <t>HM家纺组</t>
  </si>
  <si>
    <t>ZARA</t>
  </si>
  <si>
    <t>M&amp;S</t>
  </si>
  <si>
    <t>NEXT</t>
  </si>
  <si>
    <t>TESCO</t>
  </si>
  <si>
    <t>美邦</t>
  </si>
  <si>
    <t>LEVIS OUTLET</t>
  </si>
  <si>
    <t>秋水伊人</t>
  </si>
  <si>
    <t>巴拉巴拉童装</t>
  </si>
  <si>
    <t>卓诗尼</t>
  </si>
  <si>
    <t>以纯</t>
  </si>
  <si>
    <t>冠美</t>
  </si>
  <si>
    <t>G-STAR</t>
  </si>
  <si>
    <t>ORSAY</t>
  </si>
  <si>
    <t>8 SECONDS</t>
  </si>
  <si>
    <t>凡客诚品</t>
  </si>
  <si>
    <t>斐乐</t>
  </si>
  <si>
    <t>CCDD</t>
  </si>
  <si>
    <t>GAP BRFS</t>
  </si>
  <si>
    <t>REITMANS</t>
  </si>
  <si>
    <t>C&amp;A</t>
  </si>
  <si>
    <t>QVC</t>
  </si>
  <si>
    <t>PERRY ELLIS</t>
  </si>
  <si>
    <t>COSTCO</t>
  </si>
  <si>
    <t>TALLY WEIJL</t>
  </si>
  <si>
    <t>原材料分类</t>
    <phoneticPr fontId="5" type="noConversion"/>
  </si>
  <si>
    <t>物料名称</t>
  </si>
  <si>
    <t>规格</t>
  </si>
  <si>
    <t>颜色/代码</t>
    <phoneticPr fontId="5" type="noConversion"/>
  </si>
  <si>
    <t>单耗</t>
  </si>
  <si>
    <t>采购数量</t>
    <phoneticPr fontId="5" type="noConversion"/>
  </si>
  <si>
    <t>单价</t>
    <phoneticPr fontId="5" type="noConversion"/>
  </si>
  <si>
    <t>小计</t>
    <phoneticPr fontId="5" type="noConversion"/>
  </si>
  <si>
    <t>实际单耗</t>
    <phoneticPr fontId="5" type="noConversion"/>
  </si>
  <si>
    <t>备注</t>
    <phoneticPr fontId="5" type="noConversion"/>
  </si>
  <si>
    <t>供应商</t>
    <phoneticPr fontId="5" type="noConversion"/>
  </si>
  <si>
    <t>下订日期</t>
    <phoneticPr fontId="5" type="noConversion"/>
  </si>
  <si>
    <t>订购人</t>
    <phoneticPr fontId="5" type="noConversion"/>
  </si>
  <si>
    <t>预定交期</t>
    <phoneticPr fontId="5" type="noConversion"/>
  </si>
  <si>
    <t>实际进仓到货期</t>
    <phoneticPr fontId="5" type="noConversion"/>
  </si>
  <si>
    <t>仓库确认实收数量</t>
    <phoneticPr fontId="5" type="noConversion"/>
  </si>
  <si>
    <t>物料定额计划表</t>
  </si>
  <si>
    <t>内长 尺码</t>
    <phoneticPr fontId="3" type="noConversion"/>
  </si>
  <si>
    <t>PO</t>
    <phoneticPr fontId="3" type="noConversion"/>
  </si>
  <si>
    <t>款号</t>
    <phoneticPr fontId="3" type="noConversion"/>
  </si>
  <si>
    <t>生产计划通知单</t>
  </si>
  <si>
    <t>版本号：</t>
    <phoneticPr fontId="3" type="noConversion"/>
  </si>
  <si>
    <t>PO:</t>
    <phoneticPr fontId="3" type="noConversion"/>
  </si>
  <si>
    <t>款号：</t>
    <phoneticPr fontId="3" type="noConversion"/>
  </si>
  <si>
    <t>价格小计</t>
    <phoneticPr fontId="5" type="noConversion"/>
  </si>
  <si>
    <t>米</t>
    <phoneticPr fontId="3" type="noConversion"/>
  </si>
  <si>
    <t>单耗（米）</t>
    <phoneticPr fontId="3" type="noConversion"/>
  </si>
  <si>
    <t>轴长（米）</t>
    <phoneticPr fontId="5" type="noConversion"/>
  </si>
  <si>
    <t>损耗%</t>
    <phoneticPr fontId="3" type="noConversion"/>
  </si>
  <si>
    <t>采购数（轴）</t>
    <phoneticPr fontId="5" type="noConversion"/>
  </si>
  <si>
    <t>缝纫线</t>
    <phoneticPr fontId="5" type="noConversion"/>
  </si>
  <si>
    <t xml:space="preserve">工厂、客户/品牌的填写必须规范，见“工厂名和客户品牌的规范叫法”   </t>
    <phoneticPr fontId="23" type="noConversion"/>
  </si>
  <si>
    <t>业务大组名称规范</t>
    <phoneticPr fontId="3" type="noConversion"/>
  </si>
  <si>
    <t>业务小组名称规范</t>
    <phoneticPr fontId="3" type="noConversion"/>
  </si>
  <si>
    <t>HM</t>
  </si>
  <si>
    <t>家纺</t>
  </si>
  <si>
    <t>Bravo</t>
  </si>
  <si>
    <t>LEVIS RED TAB</t>
    <phoneticPr fontId="5" type="noConversion"/>
  </si>
  <si>
    <t>HADDAD</t>
  </si>
  <si>
    <t>ZARA/LANDS'END</t>
  </si>
  <si>
    <t>KIK/PEI</t>
  </si>
  <si>
    <t>Balabala/JC Penney</t>
  </si>
  <si>
    <t>Charlie</t>
  </si>
  <si>
    <t xml:space="preserve"> JOE/AEO/JNCO/TCP</t>
    <phoneticPr fontId="5" type="noConversion"/>
  </si>
  <si>
    <t>NEXT/TESCO/M&amp;S</t>
    <phoneticPr fontId="5" type="noConversion"/>
  </si>
  <si>
    <t>TRIM</t>
  </si>
  <si>
    <t>F21/GYM/KIABI/GIFTEX</t>
  </si>
  <si>
    <t>Delta</t>
  </si>
  <si>
    <t>Alpha</t>
  </si>
  <si>
    <t xml:space="preserve">KK </t>
    <phoneticPr fontId="3" type="noConversion"/>
  </si>
  <si>
    <t>业务小组缩写规范</t>
    <phoneticPr fontId="3" type="noConversion"/>
  </si>
  <si>
    <t>一分厂</t>
  </si>
  <si>
    <t>宝莱水洗厂</t>
  </si>
  <si>
    <t>技术科</t>
  </si>
  <si>
    <t>天卓水洗厂</t>
  </si>
  <si>
    <t>美达</t>
  </si>
  <si>
    <t>梦尔罗</t>
  </si>
  <si>
    <t>河南水洗厂</t>
  </si>
  <si>
    <t>新金燕</t>
  </si>
  <si>
    <t>迪利斯</t>
  </si>
  <si>
    <t>重庆水洗</t>
  </si>
  <si>
    <t>东奥31</t>
  </si>
  <si>
    <t>东奥5</t>
  </si>
  <si>
    <t>东奥25</t>
  </si>
  <si>
    <t>东奥17</t>
  </si>
  <si>
    <t>东奥20</t>
  </si>
  <si>
    <t>东奥2</t>
  </si>
  <si>
    <t>东奥111</t>
  </si>
  <si>
    <t>东奥101</t>
  </si>
  <si>
    <t>东奥45</t>
  </si>
  <si>
    <t>东奥104</t>
  </si>
  <si>
    <t>东奥50</t>
  </si>
  <si>
    <t>东奥9</t>
  </si>
  <si>
    <t>东奥4</t>
  </si>
  <si>
    <t>东奥103</t>
  </si>
  <si>
    <t>东奥83</t>
  </si>
  <si>
    <t>东奥64</t>
  </si>
  <si>
    <t>东奥109</t>
  </si>
  <si>
    <t>东奥3</t>
  </si>
  <si>
    <t>东奥107</t>
  </si>
  <si>
    <t>东奥110</t>
  </si>
  <si>
    <t>东奥93</t>
  </si>
  <si>
    <t>东奥60</t>
  </si>
  <si>
    <t>东奥112</t>
  </si>
  <si>
    <t>东奥113</t>
  </si>
  <si>
    <t>东奥114</t>
  </si>
  <si>
    <t>通知单编号(完单号）</t>
    <phoneticPr fontId="5" type="noConversion"/>
  </si>
  <si>
    <t>妹尾</t>
  </si>
  <si>
    <t>Quetico</t>
  </si>
  <si>
    <t>Charming shoppes</t>
  </si>
  <si>
    <t>PIMKI</t>
  </si>
  <si>
    <t>Nautica</t>
  </si>
  <si>
    <t>Lee</t>
  </si>
  <si>
    <t>Modis</t>
  </si>
  <si>
    <t>不可以空</t>
    <phoneticPr fontId="3" type="noConversion"/>
  </si>
  <si>
    <t>不可以空</t>
    <phoneticPr fontId="3" type="noConversion"/>
  </si>
  <si>
    <t>单名不可有空格</t>
    <phoneticPr fontId="3" type="noConversion"/>
  </si>
  <si>
    <t>同前</t>
    <phoneticPr fontId="3" type="noConversion"/>
  </si>
  <si>
    <t>发给工厂日期</t>
    <phoneticPr fontId="3" type="noConversion"/>
  </si>
  <si>
    <t>东奥24</t>
  </si>
  <si>
    <t>东奥27</t>
  </si>
  <si>
    <t>东奥67</t>
  </si>
  <si>
    <t>东奥69</t>
  </si>
  <si>
    <t>东奥74</t>
  </si>
  <si>
    <t>东奥90</t>
  </si>
  <si>
    <t>东奥91</t>
  </si>
  <si>
    <t>东奥92</t>
  </si>
  <si>
    <t>东奥94</t>
  </si>
  <si>
    <t>东奥95</t>
  </si>
  <si>
    <t>东奥96</t>
  </si>
  <si>
    <t>东奥97</t>
  </si>
  <si>
    <t>东奥98</t>
  </si>
  <si>
    <t>东奥99</t>
  </si>
  <si>
    <t>东奥100</t>
  </si>
  <si>
    <t>东奥105</t>
  </si>
  <si>
    <t>东奥106</t>
  </si>
  <si>
    <t>东奥108</t>
  </si>
  <si>
    <t>东奥115</t>
  </si>
  <si>
    <t>编号</t>
  </si>
  <si>
    <t>工厂名称</t>
  </si>
  <si>
    <t>李北</t>
  </si>
  <si>
    <t>欧泓韵</t>
  </si>
  <si>
    <t>孙阳泰</t>
  </si>
  <si>
    <t>陈海达</t>
  </si>
  <si>
    <t>孙司迈</t>
  </si>
  <si>
    <t>顾天舜</t>
  </si>
  <si>
    <t>黄益</t>
  </si>
  <si>
    <t>汤林官</t>
  </si>
  <si>
    <t>高山圣</t>
  </si>
  <si>
    <t>徐如意</t>
  </si>
  <si>
    <t>岑好时</t>
  </si>
  <si>
    <t>刘风</t>
  </si>
  <si>
    <t>濮诚业</t>
  </si>
  <si>
    <t>张怡丽</t>
  </si>
  <si>
    <t>虞华冠</t>
  </si>
  <si>
    <t>顾翔</t>
  </si>
  <si>
    <t>汪房</t>
  </si>
  <si>
    <t>蔡苏衣</t>
  </si>
  <si>
    <t>夏三和</t>
  </si>
  <si>
    <t>王国云</t>
  </si>
  <si>
    <t>黄美杰</t>
  </si>
  <si>
    <t>沈鑫海</t>
  </si>
  <si>
    <t>杨泰威</t>
  </si>
  <si>
    <t>郭奥杰</t>
  </si>
  <si>
    <t>陈宏源</t>
  </si>
  <si>
    <t>葛鸿润</t>
  </si>
  <si>
    <t>刘鹏宸</t>
  </si>
  <si>
    <t>张广陵</t>
  </si>
  <si>
    <t>杨亿枫</t>
  </si>
  <si>
    <t>王信谊</t>
  </si>
  <si>
    <t>林力星</t>
  </si>
  <si>
    <t>文富华</t>
  </si>
  <si>
    <t>吕瀚鼎</t>
  </si>
  <si>
    <t>张众润</t>
  </si>
  <si>
    <t>邹绿迪</t>
  </si>
  <si>
    <t>张恒悦</t>
  </si>
  <si>
    <t>徐丽琪</t>
  </si>
  <si>
    <t>余卓凌</t>
  </si>
  <si>
    <t>张清唛</t>
  </si>
  <si>
    <t>李阿本</t>
  </si>
  <si>
    <t>顾浩缘</t>
  </si>
  <si>
    <t>郑天嘉</t>
  </si>
  <si>
    <t>毛双宇</t>
  </si>
  <si>
    <t>倪卓依</t>
  </si>
  <si>
    <t>加裁比例%</t>
    <phoneticPr fontId="3" type="noConversion"/>
  </si>
  <si>
    <t>许可分类</t>
    <phoneticPr fontId="3" type="noConversion"/>
  </si>
  <si>
    <t>牛仔：3.5%</t>
    <phoneticPr fontId="3" type="noConversion"/>
  </si>
  <si>
    <t>染色：7%</t>
    <phoneticPr fontId="3" type="noConversion"/>
  </si>
  <si>
    <t>上装含棉袄：2.5%</t>
    <phoneticPr fontId="3" type="noConversion"/>
  </si>
  <si>
    <t>色布：2.5%</t>
    <phoneticPr fontId="3" type="noConversion"/>
  </si>
  <si>
    <t>含手工色布：3.5%</t>
    <phoneticPr fontId="3" type="noConversion"/>
  </si>
  <si>
    <t>特殊工艺/炒雪花：7%</t>
    <phoneticPr fontId="3" type="noConversion"/>
  </si>
  <si>
    <t>东奥116</t>
  </si>
  <si>
    <t>损耗许可分类</t>
    <phoneticPr fontId="3" type="noConversion"/>
  </si>
  <si>
    <t>业务员：</t>
    <phoneticPr fontId="5" type="noConversion"/>
  </si>
  <si>
    <r>
      <rPr>
        <sz val="11"/>
        <color indexed="8"/>
        <rFont val="宋体"/>
        <family val="3"/>
        <charset val="134"/>
      </rPr>
      <t>电话</t>
    </r>
    <r>
      <rPr>
        <sz val="11"/>
        <color indexed="8"/>
        <rFont val="Arial"/>
        <family val="2"/>
      </rPr>
      <t>:</t>
    </r>
    <phoneticPr fontId="5" type="noConversion"/>
  </si>
  <si>
    <r>
      <t>审批：</t>
    </r>
    <r>
      <rPr>
        <sz val="12"/>
        <rFont val="Arial"/>
        <family val="2"/>
      </rPr>
      <t xml:space="preserve"> </t>
    </r>
  </si>
  <si>
    <r>
      <t>日期：</t>
    </r>
    <r>
      <rPr>
        <sz val="12"/>
        <rFont val="Arial"/>
        <family val="2"/>
      </rPr>
      <t/>
    </r>
    <phoneticPr fontId="5" type="noConversion"/>
  </si>
</sst>
</file>

<file path=xl/styles.xml><?xml version="1.0" encoding="utf-8"?>
<styleSheet xmlns="http://schemas.openxmlformats.org/spreadsheetml/2006/main">
  <numFmts count="4">
    <numFmt numFmtId="176" formatCode="yyyy/m/d;@"/>
    <numFmt numFmtId="177" formatCode="0_ "/>
    <numFmt numFmtId="178" formatCode="0.0%"/>
    <numFmt numFmtId="179" formatCode="m/d;@"/>
  </numFmts>
  <fonts count="38"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22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i/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i/>
      <sz val="12"/>
      <color theme="1"/>
      <name val="宋体"/>
      <family val="3"/>
      <charset val="134"/>
      <scheme val="minor"/>
    </font>
    <font>
      <b/>
      <sz val="12"/>
      <color indexed="8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u/>
      <sz val="18"/>
      <color theme="10"/>
      <name val="宋体"/>
      <family val="3"/>
      <charset val="134"/>
    </font>
    <font>
      <b/>
      <sz val="20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name val="宋体"/>
      <family val="3"/>
      <charset val="134"/>
    </font>
    <font>
      <sz val="9"/>
      <color indexed="8"/>
      <name val="宋体"/>
      <family val="3"/>
      <charset val="134"/>
    </font>
    <font>
      <b/>
      <sz val="14"/>
      <color rgb="FFFF000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sz val="10"/>
      <name val="Arial Unicode MS"/>
      <family val="2"/>
      <charset val="134"/>
    </font>
    <font>
      <sz val="9"/>
      <color indexed="8"/>
      <name val="Arial"/>
      <family val="2"/>
    </font>
    <font>
      <b/>
      <sz val="10"/>
      <color indexed="81"/>
      <name val="宋体"/>
      <family val="3"/>
      <charset val="134"/>
    </font>
    <font>
      <sz val="12"/>
      <name val="Arial"/>
      <family val="2"/>
    </font>
    <font>
      <sz val="11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/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9" fontId="28" fillId="0" borderId="0" applyFont="0" applyFill="0" applyBorder="0" applyAlignment="0" applyProtection="0">
      <alignment vertical="center"/>
    </xf>
    <xf numFmtId="0" fontId="8" fillId="0" borderId="0">
      <alignment vertical="center"/>
    </xf>
  </cellStyleXfs>
  <cellXfs count="291">
    <xf numFmtId="0" fontId="0" fillId="0" borderId="0" xfId="0">
      <alignment vertical="center"/>
    </xf>
    <xf numFmtId="0" fontId="0" fillId="0" borderId="0" xfId="0" applyFill="1" applyBorder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left" vertical="center" shrinkToFit="1"/>
    </xf>
    <xf numFmtId="176" fontId="0" fillId="0" borderId="0" xfId="0" applyNumberFormat="1" applyFill="1" applyBorder="1" applyProtection="1">
      <alignment vertical="center"/>
    </xf>
    <xf numFmtId="0" fontId="6" fillId="0" borderId="0" xfId="0" applyFont="1" applyFill="1" applyBorder="1" applyProtection="1">
      <alignment vertical="center"/>
    </xf>
    <xf numFmtId="0" fontId="10" fillId="0" borderId="7" xfId="1" applyFont="1" applyFill="1" applyBorder="1" applyAlignment="1" applyProtection="1">
      <alignment horizontal="center" vertical="center" shrinkToFit="1"/>
    </xf>
    <xf numFmtId="0" fontId="4" fillId="0" borderId="5" xfId="1" applyFont="1" applyFill="1" applyBorder="1" applyAlignment="1" applyProtection="1">
      <alignment vertical="center"/>
    </xf>
    <xf numFmtId="0" fontId="4" fillId="0" borderId="6" xfId="1" applyFont="1" applyFill="1" applyBorder="1" applyAlignment="1" applyProtection="1">
      <alignment vertical="center"/>
    </xf>
    <xf numFmtId="0" fontId="13" fillId="0" borderId="0" xfId="0" applyFont="1" applyFill="1" applyBorder="1" applyProtection="1">
      <alignment vertical="center"/>
    </xf>
    <xf numFmtId="0" fontId="8" fillId="2" borderId="13" xfId="1" applyFont="1" applyFill="1" applyBorder="1" applyAlignment="1" applyProtection="1">
      <alignment vertical="center"/>
      <protection locked="0"/>
    </xf>
    <xf numFmtId="0" fontId="8" fillId="2" borderId="12" xfId="2" applyFont="1" applyFill="1" applyBorder="1" applyAlignment="1" applyProtection="1">
      <alignment horizontal="center"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0" fontId="8" fillId="2" borderId="14" xfId="1" applyFont="1" applyFill="1" applyBorder="1" applyAlignment="1" applyProtection="1">
      <alignment vertical="center"/>
      <protection locked="0"/>
    </xf>
    <xf numFmtId="0" fontId="8" fillId="2" borderId="15" xfId="2" applyFont="1" applyFill="1" applyBorder="1" applyAlignment="1" applyProtection="1">
      <alignment horizontal="center" vertical="center"/>
      <protection locked="0"/>
    </xf>
    <xf numFmtId="0" fontId="14" fillId="2" borderId="18" xfId="1" applyFont="1" applyFill="1" applyBorder="1" applyAlignment="1" applyProtection="1">
      <alignment vertical="center"/>
      <protection locked="0"/>
    </xf>
    <xf numFmtId="0" fontId="14" fillId="2" borderId="21" xfId="1" applyFont="1" applyFill="1" applyBorder="1" applyAlignment="1" applyProtection="1">
      <alignment vertical="center"/>
      <protection locked="0"/>
    </xf>
    <xf numFmtId="0" fontId="8" fillId="2" borderId="19" xfId="2" applyFont="1" applyFill="1" applyBorder="1" applyAlignment="1" applyProtection="1">
      <alignment horizontal="center" vertical="center"/>
      <protection locked="0"/>
    </xf>
    <xf numFmtId="0" fontId="14" fillId="2" borderId="32" xfId="1" applyFont="1" applyFill="1" applyBorder="1" applyAlignment="1" applyProtection="1">
      <alignment vertical="center"/>
      <protection locked="0"/>
    </xf>
    <xf numFmtId="177" fontId="12" fillId="0" borderId="30" xfId="1" applyNumberFormat="1" applyFont="1" applyFill="1" applyBorder="1" applyAlignment="1" applyProtection="1">
      <alignment horizontal="center" vertical="center"/>
    </xf>
    <xf numFmtId="0" fontId="1" fillId="0" borderId="8" xfId="1" applyFill="1" applyBorder="1" applyAlignment="1" applyProtection="1">
      <alignment vertical="center"/>
    </xf>
    <xf numFmtId="0" fontId="1" fillId="0" borderId="9" xfId="1" applyFill="1" applyBorder="1" applyAlignment="1" applyProtection="1">
      <alignment vertical="center"/>
    </xf>
    <xf numFmtId="0" fontId="1" fillId="0" borderId="14" xfId="1" applyFill="1" applyBorder="1" applyAlignment="1" applyProtection="1">
      <alignment vertical="center"/>
    </xf>
    <xf numFmtId="0" fontId="1" fillId="0" borderId="15" xfId="1" applyFill="1" applyBorder="1" applyAlignment="1" applyProtection="1">
      <alignment vertical="center"/>
    </xf>
    <xf numFmtId="0" fontId="15" fillId="0" borderId="0" xfId="0" applyFont="1" applyFill="1" applyBorder="1" applyProtection="1">
      <alignment vertical="center"/>
    </xf>
    <xf numFmtId="0" fontId="4" fillId="0" borderId="0" xfId="1" applyFont="1" applyFill="1" applyBorder="1" applyAlignment="1" applyProtection="1">
      <alignment vertical="center" shrinkToFit="1"/>
    </xf>
    <xf numFmtId="0" fontId="21" fillId="0" borderId="42" xfId="0" applyFont="1" applyBorder="1">
      <alignment vertical="center"/>
    </xf>
    <xf numFmtId="0" fontId="4" fillId="0" borderId="3" xfId="1" applyFont="1" applyFill="1" applyBorder="1" applyAlignment="1" applyProtection="1">
      <alignment horizontal="center" vertical="center"/>
    </xf>
    <xf numFmtId="0" fontId="4" fillId="0" borderId="4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177" fontId="4" fillId="0" borderId="34" xfId="1" applyNumberFormat="1" applyFont="1" applyFill="1" applyBorder="1" applyAlignment="1" applyProtection="1">
      <alignment horizontal="center" vertical="center"/>
    </xf>
    <xf numFmtId="178" fontId="10" fillId="0" borderId="47" xfId="1" applyNumberFormat="1" applyFont="1" applyFill="1" applyBorder="1" applyAlignment="1" applyProtection="1">
      <alignment horizontal="center" vertical="center" shrinkToFit="1"/>
    </xf>
    <xf numFmtId="0" fontId="1" fillId="0" borderId="21" xfId="1" applyFill="1" applyBorder="1" applyAlignment="1" applyProtection="1">
      <alignment vertical="center"/>
    </xf>
    <xf numFmtId="0" fontId="1" fillId="0" borderId="19" xfId="1" applyFill="1" applyBorder="1" applyAlignment="1" applyProtection="1">
      <alignment vertical="center"/>
    </xf>
    <xf numFmtId="177" fontId="4" fillId="0" borderId="50" xfId="1" applyNumberFormat="1" applyFont="1" applyFill="1" applyBorder="1" applyAlignment="1" applyProtection="1">
      <alignment horizontal="center" vertical="center"/>
    </xf>
    <xf numFmtId="177" fontId="4" fillId="0" borderId="42" xfId="1" applyNumberFormat="1" applyFont="1" applyFill="1" applyBorder="1" applyAlignment="1" applyProtection="1">
      <alignment horizontal="center" vertical="center"/>
    </xf>
    <xf numFmtId="177" fontId="4" fillId="0" borderId="40" xfId="1" applyNumberFormat="1" applyFont="1" applyFill="1" applyBorder="1" applyAlignment="1" applyProtection="1">
      <alignment horizontal="center" vertical="center"/>
    </xf>
    <xf numFmtId="0" fontId="12" fillId="0" borderId="42" xfId="1" applyFont="1" applyFill="1" applyBorder="1" applyAlignment="1" applyProtection="1">
      <alignment horizontal="center" vertical="center"/>
    </xf>
    <xf numFmtId="177" fontId="0" fillId="0" borderId="9" xfId="0" applyNumberFormat="1" applyFill="1" applyBorder="1" applyAlignment="1" applyProtection="1">
      <alignment horizontal="center" vertical="center"/>
    </xf>
    <xf numFmtId="177" fontId="0" fillId="0" borderId="15" xfId="0" applyNumberFormat="1" applyFill="1" applyBorder="1" applyAlignment="1" applyProtection="1">
      <alignment horizontal="center" vertical="center"/>
    </xf>
    <xf numFmtId="177" fontId="0" fillId="0" borderId="16" xfId="0" applyNumberFormat="1" applyFill="1" applyBorder="1" applyAlignment="1" applyProtection="1">
      <alignment horizontal="center" vertical="center"/>
    </xf>
    <xf numFmtId="177" fontId="0" fillId="0" borderId="23" xfId="0" applyNumberFormat="1" applyFill="1" applyBorder="1" applyAlignment="1" applyProtection="1">
      <alignment horizontal="center" vertical="center"/>
    </xf>
    <xf numFmtId="177" fontId="0" fillId="0" borderId="24" xfId="0" applyNumberFormat="1" applyFill="1" applyBorder="1" applyAlignment="1" applyProtection="1">
      <alignment horizontal="center" vertical="center"/>
    </xf>
    <xf numFmtId="177" fontId="4" fillId="0" borderId="35" xfId="1" applyNumberFormat="1" applyFont="1" applyFill="1" applyBorder="1" applyAlignment="1" applyProtection="1">
      <alignment horizontal="center" vertical="center"/>
    </xf>
    <xf numFmtId="177" fontId="4" fillId="0" borderId="51" xfId="1" applyNumberFormat="1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left" vertical="center"/>
      <protection locked="0"/>
    </xf>
    <xf numFmtId="0" fontId="9" fillId="0" borderId="5" xfId="2" applyFont="1" applyFill="1" applyBorder="1" applyAlignment="1" applyProtection="1">
      <alignment vertical="center"/>
      <protection locked="0"/>
    </xf>
    <xf numFmtId="0" fontId="9" fillId="0" borderId="6" xfId="2" applyFont="1" applyFill="1" applyBorder="1" applyAlignment="1" applyProtection="1">
      <alignment vertical="center"/>
      <protection locked="0"/>
    </xf>
    <xf numFmtId="176" fontId="6" fillId="6" borderId="10" xfId="0" applyNumberFormat="1" applyFont="1" applyFill="1" applyBorder="1" applyProtection="1">
      <alignment vertical="center"/>
      <protection locked="0"/>
    </xf>
    <xf numFmtId="176" fontId="6" fillId="6" borderId="16" xfId="0" applyNumberFormat="1" applyFont="1" applyFill="1" applyBorder="1" applyProtection="1">
      <alignment vertical="center"/>
      <protection locked="0"/>
    </xf>
    <xf numFmtId="176" fontId="6" fillId="6" borderId="24" xfId="0" applyNumberFormat="1" applyFont="1" applyFill="1" applyBorder="1" applyProtection="1">
      <alignment vertical="center"/>
      <protection locked="0"/>
    </xf>
    <xf numFmtId="176" fontId="6" fillId="6" borderId="31" xfId="0" applyNumberFormat="1" applyFont="1" applyFill="1" applyBorder="1" applyProtection="1">
      <alignment vertical="center"/>
      <protection locked="0"/>
    </xf>
    <xf numFmtId="176" fontId="6" fillId="6" borderId="18" xfId="0" applyNumberFormat="1" applyFont="1" applyFill="1" applyBorder="1" applyProtection="1">
      <alignment vertical="center"/>
      <protection locked="0"/>
    </xf>
    <xf numFmtId="176" fontId="6" fillId="6" borderId="38" xfId="0" applyNumberFormat="1" applyFont="1" applyFill="1" applyBorder="1" applyProtection="1">
      <alignment vertical="center"/>
      <protection locked="0"/>
    </xf>
    <xf numFmtId="0" fontId="22" fillId="5" borderId="0" xfId="0" applyFont="1" applyFill="1" applyBorder="1" applyProtection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left" wrapText="1"/>
    </xf>
    <xf numFmtId="0" fontId="4" fillId="0" borderId="54" xfId="1" applyFont="1" applyFill="1" applyBorder="1" applyAlignment="1" applyProtection="1">
      <alignment horizontal="center" vertical="center"/>
    </xf>
    <xf numFmtId="177" fontId="4" fillId="0" borderId="53" xfId="1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left"/>
    </xf>
    <xf numFmtId="0" fontId="26" fillId="0" borderId="0" xfId="3" applyFont="1" applyAlignment="1" applyProtection="1">
      <alignment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4" fillId="0" borderId="56" xfId="1" applyFont="1" applyFill="1" applyBorder="1" applyAlignment="1" applyProtection="1">
      <alignment horizontal="center" vertical="center"/>
    </xf>
    <xf numFmtId="0" fontId="4" fillId="0" borderId="5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>
      <alignment horizontal="center" vertical="center" wrapText="1"/>
    </xf>
    <xf numFmtId="0" fontId="29" fillId="3" borderId="15" xfId="0" applyFont="1" applyFill="1" applyBorder="1" applyAlignment="1">
      <alignment horizontal="center" vertical="center" wrapText="1"/>
    </xf>
    <xf numFmtId="0" fontId="11" fillId="3" borderId="15" xfId="2" applyFont="1" applyFill="1" applyBorder="1" applyAlignment="1" applyProtection="1">
      <alignment horizontal="center" vertical="center" wrapText="1"/>
    </xf>
    <xf numFmtId="0" fontId="11" fillId="2" borderId="15" xfId="2" applyFont="1" applyFill="1" applyBorder="1" applyAlignment="1" applyProtection="1">
      <alignment horizontal="center" vertical="center" wrapText="1"/>
    </xf>
    <xf numFmtId="0" fontId="11" fillId="0" borderId="15" xfId="2" applyFont="1" applyFill="1" applyBorder="1" applyAlignment="1" applyProtection="1">
      <alignment horizontal="center" vertical="center" wrapText="1"/>
    </xf>
    <xf numFmtId="0" fontId="11" fillId="2" borderId="16" xfId="2" applyFont="1" applyFill="1" applyBorder="1" applyAlignment="1" applyProtection="1">
      <alignment horizontal="center" vertical="center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0" fillId="3" borderId="14" xfId="0" applyFont="1" applyFill="1" applyBorder="1" applyProtection="1">
      <alignment vertical="center"/>
    </xf>
    <xf numFmtId="0" fontId="5" fillId="3" borderId="15" xfId="1" applyFont="1" applyFill="1" applyBorder="1" applyAlignment="1" applyProtection="1">
      <alignment horizontal="center" vertical="center"/>
      <protection locked="0"/>
    </xf>
    <xf numFmtId="177" fontId="5" fillId="0" borderId="15" xfId="1" applyNumberFormat="1" applyFont="1" applyFill="1" applyBorder="1" applyAlignment="1" applyProtection="1">
      <alignment horizontal="center" vertical="center"/>
    </xf>
    <xf numFmtId="0" fontId="0" fillId="0" borderId="15" xfId="0" applyFill="1" applyBorder="1" applyProtection="1">
      <alignment vertical="center"/>
    </xf>
    <xf numFmtId="0" fontId="0" fillId="0" borderId="15" xfId="0" applyFill="1" applyBorder="1" applyAlignment="1" applyProtection="1">
      <alignment vertical="center"/>
    </xf>
    <xf numFmtId="179" fontId="0" fillId="0" borderId="15" xfId="0" applyNumberFormat="1" applyFill="1" applyBorder="1" applyProtection="1">
      <alignment vertical="center"/>
      <protection locked="0"/>
    </xf>
    <xf numFmtId="0" fontId="0" fillId="0" borderId="15" xfId="0" applyFill="1" applyBorder="1" applyAlignment="1" applyProtection="1">
      <alignment vertical="center"/>
      <protection locked="0"/>
    </xf>
    <xf numFmtId="0" fontId="0" fillId="0" borderId="16" xfId="0" applyFill="1" applyBorder="1" applyProtection="1">
      <alignment vertical="center"/>
    </xf>
    <xf numFmtId="0" fontId="30" fillId="3" borderId="15" xfId="2" applyFont="1" applyFill="1" applyBorder="1" applyAlignment="1" applyProtection="1">
      <alignment horizontal="center" vertical="center" wrapText="1"/>
      <protection locked="0"/>
    </xf>
    <xf numFmtId="0" fontId="30" fillId="3" borderId="15" xfId="5" applyFont="1" applyFill="1" applyBorder="1" applyAlignment="1" applyProtection="1">
      <alignment horizontal="center" vertical="center"/>
      <protection locked="0"/>
    </xf>
    <xf numFmtId="0" fontId="30" fillId="3" borderId="15" xfId="2" applyFont="1" applyFill="1" applyBorder="1" applyAlignment="1" applyProtection="1">
      <alignment horizontal="center" vertical="center"/>
      <protection locked="0"/>
    </xf>
    <xf numFmtId="0" fontId="0" fillId="3" borderId="14" xfId="0" applyFill="1" applyBorder="1" applyProtection="1">
      <alignment vertical="center"/>
    </xf>
    <xf numFmtId="0" fontId="30" fillId="3" borderId="15" xfId="5" applyFont="1" applyFill="1" applyBorder="1" applyAlignment="1" applyProtection="1">
      <alignment vertical="center"/>
      <protection locked="0"/>
    </xf>
    <xf numFmtId="0" fontId="30" fillId="3" borderId="15" xfId="2" applyFont="1" applyFill="1" applyBorder="1" applyAlignment="1" applyProtection="1">
      <alignment horizontal="center" vertical="center" shrinkToFit="1"/>
      <protection locked="0"/>
    </xf>
    <xf numFmtId="0" fontId="5" fillId="3" borderId="15" xfId="1" applyFont="1" applyFill="1" applyBorder="1" applyAlignment="1" applyProtection="1">
      <alignment vertical="center"/>
      <protection locked="0"/>
    </xf>
    <xf numFmtId="0" fontId="30" fillId="3" borderId="15" xfId="2" applyFont="1" applyFill="1" applyBorder="1" applyAlignment="1" applyProtection="1">
      <alignment vertical="center"/>
      <protection locked="0"/>
    </xf>
    <xf numFmtId="0" fontId="5" fillId="3" borderId="15" xfId="1" applyFont="1" applyFill="1" applyBorder="1" applyAlignment="1" applyProtection="1">
      <alignment vertical="center" shrinkToFit="1"/>
      <protection locked="0"/>
    </xf>
    <xf numFmtId="0" fontId="30" fillId="3" borderId="15" xfId="2" applyFont="1" applyFill="1" applyBorder="1" applyAlignment="1" applyProtection="1">
      <alignment vertical="center" wrapText="1"/>
      <protection locked="0"/>
    </xf>
    <xf numFmtId="0" fontId="30" fillId="3" borderId="15" xfId="5" applyFont="1" applyFill="1" applyBorder="1" applyAlignment="1" applyProtection="1">
      <alignment vertical="center" wrapText="1"/>
      <protection locked="0"/>
    </xf>
    <xf numFmtId="0" fontId="0" fillId="3" borderId="15" xfId="0" applyFill="1" applyBorder="1" applyProtection="1">
      <alignment vertical="center"/>
      <protection locked="0"/>
    </xf>
    <xf numFmtId="0" fontId="0" fillId="3" borderId="15" xfId="0" applyFont="1" applyFill="1" applyBorder="1" applyProtection="1">
      <alignment vertical="center"/>
    </xf>
    <xf numFmtId="0" fontId="30" fillId="3" borderId="15" xfId="2" applyFont="1" applyFill="1" applyBorder="1" applyAlignment="1" applyProtection="1">
      <alignment vertical="center" shrinkToFit="1"/>
      <protection locked="0"/>
    </xf>
    <xf numFmtId="0" fontId="30" fillId="3" borderId="15" xfId="2" applyFont="1" applyFill="1" applyBorder="1" applyAlignment="1" applyProtection="1">
      <alignment horizontal="center" vertical="center" wrapText="1" shrinkToFit="1"/>
      <protection locked="0"/>
    </xf>
    <xf numFmtId="0" fontId="0" fillId="3" borderId="25" xfId="0" applyFont="1" applyFill="1" applyBorder="1" applyProtection="1">
      <alignment vertical="center"/>
    </xf>
    <xf numFmtId="0" fontId="0" fillId="3" borderId="23" xfId="0" applyFont="1" applyFill="1" applyBorder="1" applyProtection="1">
      <alignment vertical="center"/>
    </xf>
    <xf numFmtId="0" fontId="30" fillId="3" borderId="23" xfId="2" applyFont="1" applyFill="1" applyBorder="1" applyAlignment="1" applyProtection="1">
      <alignment vertical="center" shrinkToFit="1"/>
      <protection locked="0"/>
    </xf>
    <xf numFmtId="0" fontId="0" fillId="0" borderId="23" xfId="0" applyFill="1" applyBorder="1" applyProtection="1">
      <alignment vertical="center"/>
    </xf>
    <xf numFmtId="0" fontId="0" fillId="0" borderId="23" xfId="0" applyFill="1" applyBorder="1" applyAlignment="1" applyProtection="1">
      <alignment vertical="center"/>
    </xf>
    <xf numFmtId="179" fontId="0" fillId="0" borderId="23" xfId="0" applyNumberFormat="1" applyFill="1" applyBorder="1" applyProtection="1">
      <alignment vertical="center"/>
      <protection locked="0"/>
    </xf>
    <xf numFmtId="0" fontId="0" fillId="0" borderId="23" xfId="0" applyFill="1" applyBorder="1" applyAlignment="1" applyProtection="1">
      <alignment vertical="center"/>
      <protection locked="0"/>
    </xf>
    <xf numFmtId="0" fontId="0" fillId="0" borderId="24" xfId="0" applyFill="1" applyBorder="1" applyProtection="1">
      <alignment vertical="center"/>
    </xf>
    <xf numFmtId="0" fontId="2" fillId="0" borderId="0" xfId="1" applyFont="1" applyFill="1" applyBorder="1" applyAlignment="1" applyProtection="1">
      <alignment vertical="center"/>
    </xf>
    <xf numFmtId="0" fontId="22" fillId="0" borderId="0" xfId="1" applyFont="1" applyFill="1" applyBorder="1" applyAlignment="1" applyProtection="1">
      <alignment vertical="center"/>
    </xf>
    <xf numFmtId="0" fontId="31" fillId="0" borderId="0" xfId="2" applyFont="1" applyFill="1" applyBorder="1" applyAlignment="1" applyProtection="1">
      <alignment vertical="center"/>
    </xf>
    <xf numFmtId="0" fontId="13" fillId="3" borderId="5" xfId="0" applyFont="1" applyFill="1" applyBorder="1" applyAlignment="1" applyProtection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29" fillId="3" borderId="6" xfId="0" applyFont="1" applyFill="1" applyBorder="1" applyAlignment="1">
      <alignment horizontal="center" vertical="center" wrapText="1"/>
    </xf>
    <xf numFmtId="0" fontId="11" fillId="3" borderId="6" xfId="2" applyFont="1" applyFill="1" applyBorder="1" applyAlignment="1" applyProtection="1">
      <alignment horizontal="center" vertical="center" wrapText="1"/>
    </xf>
    <xf numFmtId="0" fontId="11" fillId="2" borderId="6" xfId="2" applyFont="1" applyFill="1" applyBorder="1" applyAlignment="1" applyProtection="1">
      <alignment horizontal="center" vertical="center" wrapText="1"/>
    </xf>
    <xf numFmtId="0" fontId="11" fillId="0" borderId="6" xfId="2" applyFont="1" applyFill="1" applyBorder="1" applyAlignment="1" applyProtection="1">
      <alignment horizontal="center" vertical="center" wrapText="1"/>
    </xf>
    <xf numFmtId="0" fontId="11" fillId="2" borderId="7" xfId="2" applyFont="1" applyFill="1" applyBorder="1" applyAlignment="1" applyProtection="1">
      <alignment horizontal="center" vertical="center" wrapText="1"/>
    </xf>
    <xf numFmtId="0" fontId="11" fillId="3" borderId="18" xfId="2" applyFont="1" applyFill="1" applyBorder="1" applyAlignment="1" applyProtection="1">
      <alignment vertical="center" wrapText="1"/>
    </xf>
    <xf numFmtId="10" fontId="30" fillId="3" borderId="15" xfId="2" applyNumberFormat="1" applyFont="1" applyFill="1" applyBorder="1" applyAlignment="1" applyProtection="1">
      <alignment horizontal="center" vertical="center" wrapText="1" shrinkToFit="1"/>
      <protection locked="0"/>
    </xf>
    <xf numFmtId="0" fontId="0" fillId="3" borderId="8" xfId="0" applyFont="1" applyFill="1" applyBorder="1" applyProtection="1">
      <alignment vertical="center"/>
    </xf>
    <xf numFmtId="0" fontId="5" fillId="3" borderId="9" xfId="1" applyFont="1" applyFill="1" applyBorder="1" applyAlignment="1" applyProtection="1">
      <alignment horizontal="center" vertical="center"/>
      <protection locked="0"/>
    </xf>
    <xf numFmtId="177" fontId="5" fillId="0" borderId="9" xfId="1" applyNumberFormat="1" applyFont="1" applyFill="1" applyBorder="1" applyAlignment="1" applyProtection="1">
      <alignment horizontal="center" vertical="center"/>
    </xf>
    <xf numFmtId="0" fontId="0" fillId="0" borderId="9" xfId="0" applyFill="1" applyBorder="1" applyProtection="1">
      <alignment vertical="center"/>
    </xf>
    <xf numFmtId="0" fontId="0" fillId="0" borderId="9" xfId="0" applyFill="1" applyBorder="1" applyAlignment="1" applyProtection="1">
      <alignment vertical="center"/>
    </xf>
    <xf numFmtId="9" fontId="0" fillId="0" borderId="9" xfId="4" applyFont="1" applyFill="1" applyBorder="1" applyProtection="1">
      <alignment vertical="center"/>
    </xf>
    <xf numFmtId="179" fontId="0" fillId="0" borderId="9" xfId="0" applyNumberFormat="1" applyFill="1" applyBorder="1" applyProtection="1">
      <alignment vertical="center"/>
      <protection locked="0"/>
    </xf>
    <xf numFmtId="0" fontId="0" fillId="0" borderId="9" xfId="0" applyFill="1" applyBorder="1" applyAlignment="1" applyProtection="1">
      <alignment vertical="center"/>
      <protection locked="0"/>
    </xf>
    <xf numFmtId="0" fontId="0" fillId="0" borderId="10" xfId="0" applyFill="1" applyBorder="1" applyProtection="1">
      <alignment vertical="center"/>
    </xf>
    <xf numFmtId="0" fontId="13" fillId="3" borderId="14" xfId="0" applyFont="1" applyFill="1" applyBorder="1" applyAlignment="1">
      <alignment horizontal="center" vertical="center" wrapText="1"/>
    </xf>
    <xf numFmtId="0" fontId="30" fillId="3" borderId="23" xfId="2" applyFont="1" applyFill="1" applyBorder="1" applyAlignment="1" applyProtection="1">
      <alignment horizontal="center" vertical="center" wrapText="1" shrinkToFit="1"/>
      <protection locked="0"/>
    </xf>
    <xf numFmtId="10" fontId="30" fillId="3" borderId="23" xfId="2" applyNumberFormat="1" applyFont="1" applyFill="1" applyBorder="1" applyAlignment="1" applyProtection="1">
      <alignment horizontal="center" vertical="center" wrapText="1" shrinkToFit="1"/>
      <protection locked="0"/>
    </xf>
    <xf numFmtId="0" fontId="30" fillId="3" borderId="23" xfId="2" applyFont="1" applyFill="1" applyBorder="1" applyAlignment="1" applyProtection="1">
      <alignment horizontal="center" vertical="center" shrinkToFit="1"/>
      <protection locked="0"/>
    </xf>
    <xf numFmtId="0" fontId="29" fillId="0" borderId="15" xfId="0" applyFont="1" applyFill="1" applyBorder="1" applyAlignment="1">
      <alignment horizontal="center" vertical="center" wrapText="1"/>
    </xf>
    <xf numFmtId="0" fontId="30" fillId="0" borderId="15" xfId="2" applyFont="1" applyFill="1" applyBorder="1" applyAlignment="1" applyProtection="1">
      <alignment horizontal="center" vertical="center" shrinkToFit="1"/>
      <protection locked="0"/>
    </xf>
    <xf numFmtId="0" fontId="30" fillId="0" borderId="23" xfId="2" applyFont="1" applyFill="1" applyBorder="1" applyAlignment="1" applyProtection="1">
      <alignment horizontal="center" vertical="center" shrinkToFit="1"/>
      <protection locked="0"/>
    </xf>
    <xf numFmtId="0" fontId="32" fillId="0" borderId="0" xfId="3" applyFont="1" applyAlignment="1" applyProtection="1">
      <alignment horizontal="left"/>
    </xf>
    <xf numFmtId="0" fontId="33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2" fillId="0" borderId="0" xfId="1" applyFont="1" applyFill="1" applyBorder="1" applyAlignment="1" applyProtection="1">
      <alignment horizontal="left" vertical="center"/>
    </xf>
    <xf numFmtId="0" fontId="22" fillId="0" borderId="0" xfId="1" applyFont="1" applyFill="1" applyBorder="1" applyAlignment="1" applyProtection="1">
      <alignment horizontal="right" vertical="center"/>
    </xf>
    <xf numFmtId="0" fontId="22" fillId="0" borderId="0" xfId="1" applyFont="1" applyFill="1" applyBorder="1" applyAlignment="1" applyProtection="1">
      <alignment horizontal="right" vertical="center"/>
    </xf>
    <xf numFmtId="0" fontId="34" fillId="0" borderId="15" xfId="0" applyFont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10" fillId="0" borderId="15" xfId="1" applyFont="1" applyFill="1" applyBorder="1" applyAlignment="1" applyProtection="1">
      <alignment vertical="center" shrinkToFit="1"/>
    </xf>
    <xf numFmtId="10" fontId="1" fillId="2" borderId="15" xfId="1" applyNumberFormat="1" applyFont="1" applyFill="1" applyBorder="1" applyAlignment="1" applyProtection="1">
      <alignment vertical="center" shrinkToFit="1"/>
    </xf>
    <xf numFmtId="0" fontId="1" fillId="0" borderId="18" xfId="1" applyFill="1" applyBorder="1" applyAlignment="1" applyProtection="1">
      <alignment vertical="center"/>
    </xf>
    <xf numFmtId="0" fontId="1" fillId="0" borderId="32" xfId="1" applyFill="1" applyBorder="1" applyAlignment="1" applyProtection="1">
      <alignment vertical="center"/>
    </xf>
    <xf numFmtId="177" fontId="0" fillId="0" borderId="54" xfId="0" applyNumberFormat="1" applyFill="1" applyBorder="1" applyAlignment="1" applyProtection="1">
      <alignment horizontal="center" vertical="center"/>
    </xf>
    <xf numFmtId="177" fontId="0" fillId="0" borderId="48" xfId="0" applyNumberFormat="1" applyFill="1" applyBorder="1" applyAlignment="1" applyProtection="1">
      <alignment horizontal="center" vertical="center"/>
    </xf>
    <xf numFmtId="177" fontId="0" fillId="0" borderId="46" xfId="0" applyNumberFormat="1" applyFill="1" applyBorder="1" applyAlignment="1" applyProtection="1">
      <alignment horizontal="center" vertical="center"/>
    </xf>
    <xf numFmtId="177" fontId="0" fillId="0" borderId="37" xfId="0" applyNumberFormat="1" applyFill="1" applyBorder="1" applyAlignment="1" applyProtection="1">
      <alignment horizontal="center" vertical="center"/>
    </xf>
    <xf numFmtId="177" fontId="0" fillId="0" borderId="57" xfId="0" applyNumberFormat="1" applyFill="1" applyBorder="1" applyAlignment="1" applyProtection="1">
      <alignment horizontal="center" vertical="center"/>
    </xf>
    <xf numFmtId="177" fontId="12" fillId="0" borderId="40" xfId="1" applyNumberFormat="1" applyFont="1" applyFill="1" applyBorder="1" applyAlignment="1" applyProtection="1">
      <alignment horizontal="center" vertical="center"/>
    </xf>
    <xf numFmtId="0" fontId="11" fillId="2" borderId="2" xfId="2" applyFont="1" applyFill="1" applyBorder="1" applyAlignment="1" applyProtection="1">
      <alignment horizontal="center" vertical="center"/>
      <protection locked="0"/>
    </xf>
    <xf numFmtId="0" fontId="11" fillId="2" borderId="3" xfId="2" applyFont="1" applyFill="1" applyBorder="1" applyAlignment="1" applyProtection="1">
      <alignment horizontal="center" vertical="center"/>
      <protection locked="0"/>
    </xf>
    <xf numFmtId="0" fontId="11" fillId="2" borderId="4" xfId="2" applyFont="1" applyFill="1" applyBorder="1" applyAlignment="1" applyProtection="1">
      <alignment horizontal="center" vertical="center"/>
      <protection locked="0"/>
    </xf>
    <xf numFmtId="177" fontId="12" fillId="0" borderId="53" xfId="1" applyNumberFormat="1" applyFont="1" applyFill="1" applyBorder="1" applyAlignment="1" applyProtection="1">
      <alignment horizontal="center" vertical="center"/>
    </xf>
    <xf numFmtId="177" fontId="12" fillId="0" borderId="35" xfId="1" applyNumberFormat="1" applyFont="1" applyFill="1" applyBorder="1" applyAlignment="1" applyProtection="1">
      <alignment horizontal="center" vertical="center"/>
    </xf>
    <xf numFmtId="177" fontId="12" fillId="0" borderId="58" xfId="1" applyNumberFormat="1" applyFont="1" applyFill="1" applyBorder="1" applyAlignment="1" applyProtection="1">
      <alignment horizontal="center" vertical="center"/>
    </xf>
    <xf numFmtId="177" fontId="1" fillId="2" borderId="15" xfId="1" applyNumberFormat="1" applyFill="1" applyBorder="1" applyAlignment="1" applyProtection="1">
      <alignment horizontal="center" vertical="center"/>
      <protection locked="0"/>
    </xf>
    <xf numFmtId="177" fontId="1" fillId="2" borderId="8" xfId="1" applyNumberFormat="1" applyFill="1" applyBorder="1" applyAlignment="1" applyProtection="1">
      <alignment horizontal="center" vertical="center"/>
      <protection locked="0"/>
    </xf>
    <xf numFmtId="177" fontId="1" fillId="2" borderId="9" xfId="1" applyNumberFormat="1" applyFill="1" applyBorder="1" applyAlignment="1" applyProtection="1">
      <alignment horizontal="center" vertical="center"/>
      <protection locked="0"/>
    </xf>
    <xf numFmtId="177" fontId="1" fillId="2" borderId="10" xfId="1" applyNumberFormat="1" applyFill="1" applyBorder="1" applyAlignment="1" applyProtection="1">
      <alignment horizontal="center" vertical="center"/>
      <protection locked="0"/>
    </xf>
    <xf numFmtId="177" fontId="1" fillId="2" borderId="14" xfId="1" applyNumberFormat="1" applyFill="1" applyBorder="1" applyAlignment="1" applyProtection="1">
      <alignment horizontal="center" vertical="center"/>
      <protection locked="0"/>
    </xf>
    <xf numFmtId="177" fontId="1" fillId="2" borderId="16" xfId="1" applyNumberFormat="1" applyFill="1" applyBorder="1" applyAlignment="1" applyProtection="1">
      <alignment horizontal="center" vertical="center"/>
      <protection locked="0"/>
    </xf>
    <xf numFmtId="177" fontId="1" fillId="2" borderId="25" xfId="1" applyNumberFormat="1" applyFill="1" applyBorder="1" applyAlignment="1" applyProtection="1">
      <alignment horizontal="center" vertical="center"/>
      <protection locked="0"/>
    </xf>
    <xf numFmtId="177" fontId="1" fillId="2" borderId="23" xfId="1" applyNumberFormat="1" applyFill="1" applyBorder="1" applyAlignment="1" applyProtection="1">
      <alignment horizontal="center" vertical="center"/>
      <protection locked="0"/>
    </xf>
    <xf numFmtId="177" fontId="1" fillId="2" borderId="24" xfId="1" applyNumberFormat="1" applyFill="1" applyBorder="1" applyAlignment="1" applyProtection="1">
      <alignment horizontal="center" vertical="center"/>
      <protection locked="0"/>
    </xf>
    <xf numFmtId="0" fontId="10" fillId="0" borderId="15" xfId="1" applyFont="1" applyFill="1" applyBorder="1" applyAlignment="1" applyProtection="1">
      <alignment vertical="center" wrapText="1" shrinkToFit="1"/>
    </xf>
    <xf numFmtId="178" fontId="7" fillId="2" borderId="34" xfId="1" applyNumberFormat="1" applyFont="1" applyFill="1" applyBorder="1" applyAlignment="1" applyProtection="1">
      <alignment vertical="center" wrapText="1"/>
      <protection locked="0"/>
    </xf>
    <xf numFmtId="0" fontId="37" fillId="3" borderId="6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37" fillId="0" borderId="6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31" fontId="36" fillId="0" borderId="6" xfId="0" applyNumberFormat="1" applyFont="1" applyFill="1" applyBorder="1" applyAlignment="1">
      <alignment horizontal="center" vertical="center"/>
    </xf>
    <xf numFmtId="31" fontId="36" fillId="0" borderId="7" xfId="0" applyNumberFormat="1" applyFont="1" applyFill="1" applyBorder="1" applyAlignment="1">
      <alignment horizontal="center" vertical="center"/>
    </xf>
    <xf numFmtId="0" fontId="11" fillId="3" borderId="9" xfId="2" applyFont="1" applyFill="1" applyBorder="1" applyAlignment="1" applyProtection="1">
      <alignment horizontal="center" vertical="center"/>
    </xf>
    <xf numFmtId="0" fontId="11" fillId="3" borderId="15" xfId="2" applyFont="1" applyFill="1" applyBorder="1" applyAlignment="1" applyProtection="1">
      <alignment horizontal="center" vertical="center"/>
    </xf>
    <xf numFmtId="0" fontId="4" fillId="0" borderId="5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center" vertical="center"/>
    </xf>
    <xf numFmtId="0" fontId="10" fillId="0" borderId="27" xfId="1" applyFont="1" applyFill="1" applyBorder="1" applyAlignment="1" applyProtection="1">
      <alignment horizontal="center" vertical="center" shrinkToFit="1"/>
    </xf>
    <xf numFmtId="0" fontId="10" fillId="0" borderId="22" xfId="1" applyFont="1" applyFill="1" applyBorder="1" applyAlignment="1" applyProtection="1">
      <alignment horizontal="center" vertical="center" shrinkToFit="1"/>
    </xf>
    <xf numFmtId="0" fontId="10" fillId="0" borderId="49" xfId="1" applyFont="1" applyFill="1" applyBorder="1" applyAlignment="1" applyProtection="1">
      <alignment horizontal="center" vertical="center" shrinkToFit="1"/>
    </xf>
    <xf numFmtId="0" fontId="4" fillId="0" borderId="27" xfId="1" applyFont="1" applyFill="1" applyBorder="1" applyAlignment="1" applyProtection="1">
      <alignment horizontal="center" vertical="center"/>
    </xf>
    <xf numFmtId="0" fontId="4" fillId="0" borderId="22" xfId="1" applyFont="1" applyFill="1" applyBorder="1" applyAlignment="1" applyProtection="1">
      <alignment horizontal="center" vertical="center"/>
    </xf>
    <xf numFmtId="0" fontId="4" fillId="0" borderId="42" xfId="1" applyFont="1" applyFill="1" applyBorder="1" applyAlignment="1" applyProtection="1">
      <alignment horizontal="center" vertical="center"/>
    </xf>
    <xf numFmtId="0" fontId="30" fillId="0" borderId="18" xfId="2" applyFont="1" applyFill="1" applyBorder="1" applyAlignment="1" applyProtection="1">
      <alignment horizontal="center" vertical="top" wrapText="1" shrinkToFit="1"/>
      <protection locked="0"/>
    </xf>
    <xf numFmtId="0" fontId="30" fillId="0" borderId="36" xfId="2" applyFont="1" applyFill="1" applyBorder="1" applyAlignment="1" applyProtection="1">
      <alignment horizontal="center" vertical="top" wrapText="1" shrinkToFit="1"/>
      <protection locked="0"/>
    </xf>
    <xf numFmtId="0" fontId="30" fillId="0" borderId="17" xfId="2" applyFont="1" applyFill="1" applyBorder="1" applyAlignment="1" applyProtection="1">
      <alignment horizontal="center" vertical="top" wrapText="1" shrinkToFit="1"/>
      <protection locked="0"/>
    </xf>
    <xf numFmtId="0" fontId="11" fillId="3" borderId="6" xfId="2" applyFont="1" applyFill="1" applyBorder="1" applyAlignment="1" applyProtection="1">
      <alignment horizontal="center" vertical="center" wrapText="1"/>
    </xf>
    <xf numFmtId="0" fontId="11" fillId="2" borderId="29" xfId="2" applyFont="1" applyFill="1" applyBorder="1" applyAlignment="1" applyProtection="1">
      <alignment horizontal="center" vertical="center" wrapText="1"/>
    </xf>
    <xf numFmtId="0" fontId="11" fillId="2" borderId="22" xfId="2" applyFont="1" applyFill="1" applyBorder="1" applyAlignment="1" applyProtection="1">
      <alignment horizontal="center" vertical="center" wrapText="1"/>
    </xf>
    <xf numFmtId="0" fontId="11" fillId="2" borderId="28" xfId="2" applyFont="1" applyFill="1" applyBorder="1" applyAlignment="1" applyProtection="1">
      <alignment horizontal="center" vertical="center" wrapText="1"/>
    </xf>
    <xf numFmtId="0" fontId="30" fillId="0" borderId="41" xfId="2" applyFont="1" applyFill="1" applyBorder="1" applyAlignment="1" applyProtection="1">
      <alignment horizontal="center" vertical="top" wrapText="1" shrinkToFit="1"/>
      <protection locked="0"/>
    </xf>
    <xf numFmtId="0" fontId="30" fillId="0" borderId="44" xfId="2" applyFont="1" applyFill="1" applyBorder="1" applyAlignment="1" applyProtection="1">
      <alignment horizontal="center" vertical="top" wrapText="1" shrinkToFit="1"/>
      <protection locked="0"/>
    </xf>
    <xf numFmtId="0" fontId="30" fillId="0" borderId="52" xfId="2" applyFont="1" applyFill="1" applyBorder="1" applyAlignment="1" applyProtection="1">
      <alignment horizontal="center" vertical="top" wrapText="1" shrinkToFit="1"/>
      <protection locked="0"/>
    </xf>
    <xf numFmtId="0" fontId="1" fillId="0" borderId="14" xfId="1" applyFont="1" applyFill="1" applyBorder="1" applyAlignment="1" applyProtection="1">
      <alignment horizontal="center" vertical="center" shrinkToFit="1"/>
    </xf>
    <xf numFmtId="0" fontId="1" fillId="0" borderId="15" xfId="1" applyFont="1" applyFill="1" applyBorder="1" applyAlignment="1" applyProtection="1">
      <alignment horizontal="center" vertical="center" shrinkToFit="1"/>
    </xf>
    <xf numFmtId="0" fontId="7" fillId="4" borderId="15" xfId="1" applyFont="1" applyFill="1" applyBorder="1" applyAlignment="1" applyProtection="1">
      <alignment horizontal="center" vertical="center"/>
      <protection locked="0"/>
    </xf>
    <xf numFmtId="10" fontId="1" fillId="2" borderId="15" xfId="1" applyNumberFormat="1" applyFont="1" applyFill="1" applyBorder="1" applyAlignment="1" applyProtection="1">
      <alignment horizontal="center" vertical="center"/>
      <protection locked="0"/>
    </xf>
    <xf numFmtId="10" fontId="1" fillId="2" borderId="16" xfId="1" applyNumberFormat="1" applyFont="1" applyFill="1" applyBorder="1" applyAlignment="1" applyProtection="1">
      <alignment horizontal="center" vertical="center"/>
      <protection locked="0"/>
    </xf>
    <xf numFmtId="0" fontId="1" fillId="0" borderId="17" xfId="1" applyFont="1" applyFill="1" applyBorder="1" applyAlignment="1" applyProtection="1">
      <alignment horizontal="center" vertical="center" shrinkToFit="1"/>
    </xf>
    <xf numFmtId="0" fontId="7" fillId="5" borderId="15" xfId="1" applyFont="1" applyFill="1" applyBorder="1" applyAlignment="1" applyProtection="1">
      <alignment horizontal="center" vertical="center"/>
      <protection locked="0"/>
    </xf>
    <xf numFmtId="0" fontId="9" fillId="3" borderId="25" xfId="2" applyFont="1" applyFill="1" applyBorder="1" applyAlignment="1" applyProtection="1">
      <alignment horizontal="center" vertical="center"/>
      <protection locked="0"/>
    </xf>
    <xf numFmtId="0" fontId="9" fillId="3" borderId="23" xfId="2" applyFont="1" applyFill="1" applyBorder="1" applyAlignment="1" applyProtection="1">
      <alignment horizontal="center" vertical="center"/>
      <protection locked="0"/>
    </xf>
    <xf numFmtId="0" fontId="9" fillId="3" borderId="24" xfId="2" applyFont="1" applyFill="1" applyBorder="1" applyAlignment="1" applyProtection="1">
      <alignment horizontal="center" vertical="center"/>
      <protection locked="0"/>
    </xf>
    <xf numFmtId="0" fontId="7" fillId="3" borderId="23" xfId="1" applyFont="1" applyFill="1" applyBorder="1" applyAlignment="1" applyProtection="1">
      <alignment horizontal="center" vertical="center"/>
      <protection locked="0"/>
    </xf>
    <xf numFmtId="0" fontId="1" fillId="0" borderId="23" xfId="1" applyFont="1" applyFill="1" applyBorder="1" applyAlignment="1" applyProtection="1">
      <alignment horizontal="center" vertical="center" shrinkToFit="1"/>
    </xf>
    <xf numFmtId="10" fontId="6" fillId="2" borderId="23" xfId="0" applyNumberFormat="1" applyFont="1" applyFill="1" applyBorder="1" applyAlignment="1" applyProtection="1">
      <alignment horizontal="center" vertical="center"/>
      <protection locked="0"/>
    </xf>
    <xf numFmtId="10" fontId="6" fillId="2" borderId="24" xfId="0" applyNumberFormat="1" applyFont="1" applyFill="1" applyBorder="1" applyAlignment="1" applyProtection="1">
      <alignment horizontal="center" vertical="center"/>
      <protection locked="0"/>
    </xf>
    <xf numFmtId="0" fontId="1" fillId="0" borderId="26" xfId="1" applyFont="1" applyFill="1" applyBorder="1" applyAlignment="1" applyProtection="1">
      <alignment horizontal="center" vertical="center" shrinkToFit="1"/>
    </xf>
    <xf numFmtId="0" fontId="7" fillId="5" borderId="23" xfId="1" applyFont="1" applyFill="1" applyBorder="1" applyAlignment="1" applyProtection="1">
      <alignment horizontal="center" vertical="center"/>
      <protection locked="0"/>
    </xf>
    <xf numFmtId="0" fontId="1" fillId="0" borderId="37" xfId="1" applyFont="1" applyFill="1" applyBorder="1" applyAlignment="1" applyProtection="1">
      <alignment horizontal="center" vertical="center" shrinkToFit="1"/>
      <protection locked="0"/>
    </xf>
    <xf numFmtId="0" fontId="1" fillId="0" borderId="26" xfId="1" applyFont="1" applyFill="1" applyBorder="1" applyAlignment="1" applyProtection="1">
      <alignment horizontal="center" vertical="center" shrinkToFit="1"/>
      <protection locked="0"/>
    </xf>
    <xf numFmtId="0" fontId="1" fillId="3" borderId="15" xfId="1" applyFont="1" applyFill="1" applyBorder="1" applyAlignment="1" applyProtection="1">
      <alignment horizontal="center" vertical="center"/>
      <protection locked="0"/>
    </xf>
    <xf numFmtId="0" fontId="6" fillId="0" borderId="15" xfId="1" applyFont="1" applyFill="1" applyBorder="1" applyAlignment="1" applyProtection="1">
      <alignment horizontal="center" vertical="center"/>
    </xf>
    <xf numFmtId="0" fontId="7" fillId="2" borderId="15" xfId="1" applyFont="1" applyFill="1" applyBorder="1" applyAlignment="1" applyProtection="1">
      <alignment horizontal="center" vertical="center"/>
      <protection locked="0"/>
    </xf>
    <xf numFmtId="0" fontId="7" fillId="2" borderId="16" xfId="1" applyFont="1" applyFill="1" applyBorder="1" applyAlignment="1" applyProtection="1">
      <alignment horizontal="center" vertical="center"/>
      <protection locked="0"/>
    </xf>
    <xf numFmtId="14" fontId="16" fillId="6" borderId="0" xfId="1" applyNumberFormat="1" applyFont="1" applyFill="1" applyBorder="1" applyAlignment="1" applyProtection="1">
      <alignment horizontal="left" vertical="center"/>
      <protection locked="0"/>
    </xf>
    <xf numFmtId="14" fontId="16" fillId="3" borderId="0" xfId="1" applyNumberFormat="1" applyFont="1" applyFill="1" applyBorder="1" applyAlignment="1" applyProtection="1">
      <alignment horizontal="left" vertical="center"/>
      <protection locked="0"/>
    </xf>
    <xf numFmtId="0" fontId="10" fillId="0" borderId="14" xfId="1" applyFont="1" applyFill="1" applyBorder="1" applyAlignment="1" applyProtection="1">
      <alignment horizontal="center" vertical="center" shrinkToFit="1"/>
    </xf>
    <xf numFmtId="0" fontId="10" fillId="0" borderId="15" xfId="1" applyFont="1" applyFill="1" applyBorder="1" applyAlignment="1" applyProtection="1">
      <alignment horizontal="center" vertical="center" shrinkToFit="1"/>
    </xf>
    <xf numFmtId="0" fontId="6" fillId="3" borderId="18" xfId="0" applyFont="1" applyFill="1" applyBorder="1" applyAlignment="1" applyProtection="1">
      <alignment horizontal="center" vertical="center"/>
    </xf>
    <xf numFmtId="0" fontId="6" fillId="3" borderId="17" xfId="0" applyFont="1" applyFill="1" applyBorder="1" applyAlignment="1" applyProtection="1">
      <alignment horizontal="center" vertical="center"/>
    </xf>
    <xf numFmtId="14" fontId="7" fillId="6" borderId="15" xfId="1" applyNumberFormat="1" applyFont="1" applyFill="1" applyBorder="1" applyAlignment="1" applyProtection="1">
      <alignment horizontal="center" vertical="center"/>
      <protection locked="0"/>
    </xf>
    <xf numFmtId="14" fontId="7" fillId="6" borderId="16" xfId="1" applyNumberFormat="1" applyFont="1" applyFill="1" applyBorder="1" applyAlignment="1" applyProtection="1">
      <alignment horizontal="center" vertical="center"/>
      <protection locked="0"/>
    </xf>
    <xf numFmtId="0" fontId="1" fillId="0" borderId="11" xfId="1" applyFont="1" applyFill="1" applyBorder="1" applyAlignment="1" applyProtection="1">
      <alignment horizontal="center" vertical="center" shrinkToFit="1"/>
    </xf>
    <xf numFmtId="0" fontId="1" fillId="0" borderId="12" xfId="1" applyFont="1" applyFill="1" applyBorder="1" applyAlignment="1" applyProtection="1">
      <alignment horizontal="center" vertical="center" shrinkToFit="1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1" fillId="0" borderId="25" xfId="1" applyFont="1" applyFill="1" applyBorder="1" applyAlignment="1" applyProtection="1">
      <alignment horizontal="center" vertical="center" shrinkToFit="1"/>
    </xf>
    <xf numFmtId="0" fontId="7" fillId="3" borderId="15" xfId="1" applyFont="1" applyFill="1" applyBorder="1" applyAlignment="1" applyProtection="1">
      <alignment horizontal="center" vertical="center"/>
      <protection locked="0"/>
    </xf>
    <xf numFmtId="0" fontId="7" fillId="3" borderId="16" xfId="1" applyFont="1" applyFill="1" applyBorder="1" applyAlignment="1" applyProtection="1">
      <alignment horizontal="center" vertical="center"/>
      <protection locked="0"/>
    </xf>
    <xf numFmtId="178" fontId="7" fillId="2" borderId="15" xfId="1" applyNumberFormat="1" applyFont="1" applyFill="1" applyBorder="1" applyAlignment="1" applyProtection="1">
      <alignment horizontal="center" vertical="center"/>
      <protection locked="0"/>
    </xf>
    <xf numFmtId="178" fontId="7" fillId="2" borderId="18" xfId="1" applyNumberFormat="1" applyFont="1" applyFill="1" applyBorder="1" applyAlignment="1" applyProtection="1">
      <alignment horizontal="center" vertical="center"/>
      <protection locked="0"/>
    </xf>
    <xf numFmtId="0" fontId="1" fillId="0" borderId="8" xfId="1" applyFont="1" applyFill="1" applyBorder="1" applyAlignment="1" applyProtection="1">
      <alignment horizontal="center" vertical="center" shrinkToFit="1"/>
    </xf>
    <xf numFmtId="0" fontId="1" fillId="0" borderId="9" xfId="1" applyFont="1" applyFill="1" applyBorder="1" applyAlignment="1" applyProtection="1">
      <alignment horizontal="center" vertical="center" shrinkToFit="1"/>
    </xf>
    <xf numFmtId="0" fontId="22" fillId="0" borderId="0" xfId="1" applyFont="1" applyFill="1" applyBorder="1" applyAlignment="1" applyProtection="1">
      <alignment horizontal="right" vertical="center"/>
    </xf>
    <xf numFmtId="0" fontId="22" fillId="0" borderId="0" xfId="1" applyFont="1" applyFill="1" applyBorder="1" applyAlignment="1" applyProtection="1">
      <alignment horizontal="left" vertical="center"/>
    </xf>
    <xf numFmtId="0" fontId="6" fillId="3" borderId="29" xfId="0" applyFont="1" applyFill="1" applyBorder="1" applyAlignment="1" applyProtection="1">
      <alignment vertical="top" wrapText="1" readingOrder="1"/>
    </xf>
    <xf numFmtId="0" fontId="6" fillId="3" borderId="22" xfId="0" applyFont="1" applyFill="1" applyBorder="1" applyAlignment="1" applyProtection="1">
      <alignment vertical="top" wrapText="1" readingOrder="1"/>
    </xf>
    <xf numFmtId="0" fontId="6" fillId="3" borderId="42" xfId="0" applyFont="1" applyFill="1" applyBorder="1" applyAlignment="1" applyProtection="1">
      <alignment vertical="top" wrapText="1" readingOrder="1"/>
    </xf>
    <xf numFmtId="0" fontId="10" fillId="0" borderId="1" xfId="1" applyFont="1" applyFill="1" applyBorder="1" applyAlignment="1" applyProtection="1">
      <alignment horizontal="center" vertical="center"/>
    </xf>
    <xf numFmtId="0" fontId="9" fillId="3" borderId="21" xfId="2" applyFont="1" applyFill="1" applyBorder="1" applyAlignment="1" applyProtection="1">
      <alignment horizontal="center" vertical="center"/>
      <protection locked="0"/>
    </xf>
    <xf numFmtId="0" fontId="9" fillId="3" borderId="19" xfId="2" applyFont="1" applyFill="1" applyBorder="1" applyAlignment="1" applyProtection="1">
      <alignment horizontal="center" vertical="center"/>
      <protection locked="0"/>
    </xf>
    <xf numFmtId="0" fontId="9" fillId="3" borderId="20" xfId="2" applyFont="1" applyFill="1" applyBorder="1" applyAlignment="1" applyProtection="1">
      <alignment horizontal="center" vertical="center"/>
      <protection locked="0"/>
    </xf>
    <xf numFmtId="0" fontId="6" fillId="3" borderId="46" xfId="0" applyFont="1" applyFill="1" applyBorder="1" applyAlignment="1" applyProtection="1">
      <alignment horizontal="center" vertical="center"/>
    </xf>
    <xf numFmtId="0" fontId="6" fillId="3" borderId="36" xfId="0" applyFont="1" applyFill="1" applyBorder="1" applyAlignment="1" applyProtection="1">
      <alignment horizontal="center" vertical="center"/>
    </xf>
    <xf numFmtId="0" fontId="6" fillId="3" borderId="34" xfId="0" applyFont="1" applyFill="1" applyBorder="1" applyAlignment="1" applyProtection="1">
      <alignment horizontal="center" vertical="center"/>
    </xf>
    <xf numFmtId="0" fontId="10" fillId="0" borderId="2" xfId="1" applyFont="1" applyFill="1" applyBorder="1" applyAlignment="1" applyProtection="1">
      <alignment horizontal="center" vertical="center" shrinkToFit="1"/>
    </xf>
    <xf numFmtId="0" fontId="10" fillId="0" borderId="3" xfId="1" applyFont="1" applyFill="1" applyBorder="1" applyAlignment="1" applyProtection="1">
      <alignment horizontal="center" vertical="center" shrinkToFit="1"/>
    </xf>
    <xf numFmtId="0" fontId="10" fillId="0" borderId="4" xfId="1" applyFont="1" applyFill="1" applyBorder="1" applyAlignment="1" applyProtection="1">
      <alignment horizontal="center"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10" fillId="0" borderId="4" xfId="1" applyFont="1" applyFill="1" applyBorder="1" applyAlignment="1" applyProtection="1">
      <alignment horizontal="center" vertical="center"/>
    </xf>
    <xf numFmtId="0" fontId="7" fillId="0" borderId="23" xfId="1" applyFont="1" applyFill="1" applyBorder="1" applyAlignment="1" applyProtection="1">
      <alignment horizontal="center" vertical="center"/>
      <protection locked="0"/>
    </xf>
    <xf numFmtId="0" fontId="17" fillId="0" borderId="0" xfId="2" applyFont="1" applyFill="1" applyBorder="1" applyAlignment="1" applyProtection="1">
      <alignment horizontal="center" vertical="center"/>
      <protection locked="0"/>
    </xf>
    <xf numFmtId="0" fontId="7" fillId="0" borderId="15" xfId="1" applyFont="1" applyFill="1" applyBorder="1" applyAlignment="1" applyProtection="1">
      <alignment horizontal="center" vertical="center"/>
      <protection locked="0"/>
    </xf>
    <xf numFmtId="0" fontId="6" fillId="3" borderId="9" xfId="1" applyFont="1" applyFill="1" applyBorder="1" applyAlignment="1" applyProtection="1">
      <alignment horizontal="center" vertic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0" fontId="7" fillId="3" borderId="41" xfId="1" applyFont="1" applyFill="1" applyBorder="1" applyAlignment="1" applyProtection="1">
      <alignment horizontal="center" vertical="center"/>
      <protection locked="0"/>
    </xf>
    <xf numFmtId="0" fontId="7" fillId="0" borderId="55" xfId="1" applyFont="1" applyFill="1" applyBorder="1" applyAlignment="1" applyProtection="1">
      <alignment horizontal="center" vertical="center"/>
      <protection locked="0"/>
    </xf>
    <xf numFmtId="0" fontId="7" fillId="0" borderId="54" xfId="1" applyFont="1" applyFill="1" applyBorder="1" applyAlignment="1" applyProtection="1">
      <alignment horizontal="center" vertical="center"/>
      <protection locked="0"/>
    </xf>
    <xf numFmtId="0" fontId="7" fillId="0" borderId="31" xfId="1" applyFont="1" applyFill="1" applyBorder="1" applyAlignment="1" applyProtection="1">
      <alignment horizontal="center" vertical="center"/>
      <protection locked="0"/>
    </xf>
    <xf numFmtId="0" fontId="7" fillId="0" borderId="11" xfId="1" applyFont="1" applyFill="1" applyBorder="1" applyAlignment="1" applyProtection="1">
      <alignment horizontal="center" vertical="center"/>
      <protection locked="0"/>
    </xf>
    <xf numFmtId="14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10" fillId="0" borderId="48" xfId="1" applyFont="1" applyFill="1" applyBorder="1" applyAlignment="1" applyProtection="1">
      <alignment horizontal="center" vertical="center" shrinkToFit="1"/>
    </xf>
    <xf numFmtId="0" fontId="30" fillId="0" borderId="15" xfId="2" applyFont="1" applyFill="1" applyBorder="1" applyAlignment="1" applyProtection="1">
      <alignment horizontal="center" vertical="top" wrapText="1" shrinkToFit="1"/>
      <protection locked="0"/>
    </xf>
    <xf numFmtId="0" fontId="6" fillId="3" borderId="45" xfId="0" applyFont="1" applyFill="1" applyBorder="1" applyAlignment="1" applyProtection="1">
      <alignment horizontal="center" vertical="center"/>
    </xf>
    <xf numFmtId="0" fontId="6" fillId="3" borderId="39" xfId="0" applyFont="1" applyFill="1" applyBorder="1" applyAlignment="1" applyProtection="1">
      <alignment horizontal="center" vertical="center"/>
    </xf>
    <xf numFmtId="0" fontId="6" fillId="3" borderId="40" xfId="0" applyFont="1" applyFill="1" applyBorder="1" applyAlignment="1" applyProtection="1">
      <alignment horizontal="center" vertical="center"/>
    </xf>
    <xf numFmtId="0" fontId="6" fillId="3" borderId="43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 applyProtection="1">
      <alignment horizontal="center" vertical="center"/>
    </xf>
    <xf numFmtId="0" fontId="6" fillId="3" borderId="33" xfId="0" applyFont="1" applyFill="1" applyBorder="1" applyAlignment="1" applyProtection="1">
      <alignment horizontal="center" vertical="center"/>
    </xf>
    <xf numFmtId="0" fontId="30" fillId="0" borderId="23" xfId="2" applyFont="1" applyFill="1" applyBorder="1" applyAlignment="1" applyProtection="1">
      <alignment horizontal="center" vertical="top" wrapText="1" shrinkToFit="1"/>
      <protection locked="0"/>
    </xf>
    <xf numFmtId="0" fontId="31" fillId="0" borderId="0" xfId="2" applyFont="1" applyFill="1" applyBorder="1" applyAlignment="1" applyProtection="1">
      <alignment horizontal="center" vertical="center"/>
    </xf>
    <xf numFmtId="0" fontId="13" fillId="0" borderId="46" xfId="0" applyFont="1" applyFill="1" applyBorder="1" applyAlignment="1" applyProtection="1">
      <alignment horizontal="center" vertical="center"/>
    </xf>
    <xf numFmtId="0" fontId="13" fillId="0" borderId="36" xfId="0" applyFont="1" applyFill="1" applyBorder="1" applyAlignment="1" applyProtection="1">
      <alignment horizontal="center" vertical="center"/>
    </xf>
    <xf numFmtId="0" fontId="13" fillId="0" borderId="34" xfId="0" applyFont="1" applyFill="1" applyBorder="1" applyAlignment="1" applyProtection="1">
      <alignment horizontal="center" vertical="center"/>
    </xf>
    <xf numFmtId="0" fontId="11" fillId="2" borderId="18" xfId="2" applyFont="1" applyFill="1" applyBorder="1" applyAlignment="1" applyProtection="1">
      <alignment horizontal="center" vertical="center" wrapText="1"/>
    </xf>
    <xf numFmtId="0" fontId="11" fillId="2" borderId="36" xfId="2" applyFont="1" applyFill="1" applyBorder="1" applyAlignment="1" applyProtection="1">
      <alignment horizontal="center" vertical="center" wrapText="1"/>
    </xf>
    <xf numFmtId="0" fontId="11" fillId="2" borderId="17" xfId="2" applyFont="1" applyFill="1" applyBorder="1" applyAlignment="1" applyProtection="1">
      <alignment horizontal="center" vertical="center" wrapText="1"/>
    </xf>
  </cellXfs>
  <cellStyles count="6">
    <cellStyle name="百分比" xfId="4" builtinId="5"/>
    <cellStyle name="常规" xfId="0" builtinId="0"/>
    <cellStyle name="常规 2" xfId="1"/>
    <cellStyle name="常规_Sheet1" xfId="5"/>
    <cellStyle name="常规_Sheet2" xfId="2"/>
    <cellStyle name="超链接" xfId="3" builtinId="8"/>
  </cellStyles>
  <dxfs count="1"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17</xdr:row>
      <xdr:rowOff>142876</xdr:rowOff>
    </xdr:from>
    <xdr:to>
      <xdr:col>0</xdr:col>
      <xdr:colOff>781050</xdr:colOff>
      <xdr:row>17</xdr:row>
      <xdr:rowOff>255270</xdr:rowOff>
    </xdr:to>
    <xdr:sp macro="" textlink="">
      <xdr:nvSpPr>
        <xdr:cNvPr id="2" name="右箭头 1"/>
        <xdr:cNvSpPr/>
      </xdr:nvSpPr>
      <xdr:spPr>
        <a:xfrm>
          <a:off x="457200" y="3571876"/>
          <a:ext cx="323850" cy="11239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419100</xdr:colOff>
      <xdr:row>31</xdr:row>
      <xdr:rowOff>257175</xdr:rowOff>
    </xdr:from>
    <xdr:to>
      <xdr:col>18</xdr:col>
      <xdr:colOff>419100</xdr:colOff>
      <xdr:row>31</xdr:row>
      <xdr:rowOff>257175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 flipV="1">
          <a:off x="12222480" y="687895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31</xdr:row>
      <xdr:rowOff>257175</xdr:rowOff>
    </xdr:from>
    <xdr:to>
      <xdr:col>18</xdr:col>
      <xdr:colOff>419100</xdr:colOff>
      <xdr:row>31</xdr:row>
      <xdr:rowOff>257175</xdr:rowOff>
    </xdr:to>
    <xdr:sp macro="" textlink="">
      <xdr:nvSpPr>
        <xdr:cNvPr id="3" name="Line 1"/>
        <xdr:cNvSpPr>
          <a:spLocks noChangeShapeType="1"/>
        </xdr:cNvSpPr>
      </xdr:nvSpPr>
      <xdr:spPr bwMode="auto">
        <a:xfrm flipV="1">
          <a:off x="12222480" y="687895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31</xdr:row>
      <xdr:rowOff>257175</xdr:rowOff>
    </xdr:from>
    <xdr:to>
      <xdr:col>18</xdr:col>
      <xdr:colOff>419100</xdr:colOff>
      <xdr:row>31</xdr:row>
      <xdr:rowOff>257175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 flipV="1">
          <a:off x="12222480" y="687895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58</xdr:row>
      <xdr:rowOff>257175</xdr:rowOff>
    </xdr:from>
    <xdr:to>
      <xdr:col>18</xdr:col>
      <xdr:colOff>419100</xdr:colOff>
      <xdr:row>58</xdr:row>
      <xdr:rowOff>257175</xdr:rowOff>
    </xdr:to>
    <xdr:sp macro="" textlink="">
      <xdr:nvSpPr>
        <xdr:cNvPr id="5" name="Line 1"/>
        <xdr:cNvSpPr>
          <a:spLocks noChangeShapeType="1"/>
        </xdr:cNvSpPr>
      </xdr:nvSpPr>
      <xdr:spPr bwMode="auto">
        <a:xfrm flipV="1">
          <a:off x="12222480" y="121824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58</xdr:row>
      <xdr:rowOff>257175</xdr:rowOff>
    </xdr:from>
    <xdr:to>
      <xdr:col>18</xdr:col>
      <xdr:colOff>419100</xdr:colOff>
      <xdr:row>58</xdr:row>
      <xdr:rowOff>257175</xdr:rowOff>
    </xdr:to>
    <xdr:sp macro="" textlink="">
      <xdr:nvSpPr>
        <xdr:cNvPr id="6" name="Line 1"/>
        <xdr:cNvSpPr>
          <a:spLocks noChangeShapeType="1"/>
        </xdr:cNvSpPr>
      </xdr:nvSpPr>
      <xdr:spPr bwMode="auto">
        <a:xfrm flipV="1">
          <a:off x="12222480" y="121824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58</xdr:row>
      <xdr:rowOff>257175</xdr:rowOff>
    </xdr:from>
    <xdr:to>
      <xdr:col>18</xdr:col>
      <xdr:colOff>419100</xdr:colOff>
      <xdr:row>58</xdr:row>
      <xdr:rowOff>257175</xdr:rowOff>
    </xdr:to>
    <xdr:sp macro="" textlink="">
      <xdr:nvSpPr>
        <xdr:cNvPr id="7" name="Line 1"/>
        <xdr:cNvSpPr>
          <a:spLocks noChangeShapeType="1"/>
        </xdr:cNvSpPr>
      </xdr:nvSpPr>
      <xdr:spPr bwMode="auto">
        <a:xfrm flipV="1">
          <a:off x="12222480" y="121824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00B050"/>
  </sheetPr>
  <dimension ref="A1:B18"/>
  <sheetViews>
    <sheetView topLeftCell="A7" workbookViewId="0">
      <selection activeCell="B14" sqref="B14"/>
    </sheetView>
  </sheetViews>
  <sheetFormatPr defaultRowHeight="13.5"/>
  <cols>
    <col min="1" max="1" width="11.75" customWidth="1"/>
    <col min="2" max="2" width="121.625" customWidth="1"/>
  </cols>
  <sheetData>
    <row r="1" spans="1:2" ht="22.5" customHeight="1">
      <c r="B1" s="69" t="s">
        <v>68</v>
      </c>
    </row>
    <row r="2" spans="1:2" ht="22.5" customHeight="1">
      <c r="A2" s="57" t="s">
        <v>55</v>
      </c>
      <c r="B2" s="63" t="s">
        <v>69</v>
      </c>
    </row>
    <row r="3" spans="1:2" ht="22.5" customHeight="1">
      <c r="A3" s="66">
        <v>1</v>
      </c>
      <c r="B3" s="63" t="s">
        <v>71</v>
      </c>
    </row>
    <row r="4" spans="1:2" ht="30.75" customHeight="1">
      <c r="A4" s="66">
        <v>2</v>
      </c>
      <c r="B4" s="67" t="s">
        <v>64</v>
      </c>
    </row>
    <row r="5" spans="1:2" ht="30.75" customHeight="1">
      <c r="A5" s="66">
        <v>3</v>
      </c>
      <c r="B5" s="62" t="s">
        <v>67</v>
      </c>
    </row>
    <row r="6" spans="1:2" ht="30.75" customHeight="1">
      <c r="A6" s="66">
        <v>4</v>
      </c>
      <c r="B6" s="59" t="s">
        <v>62</v>
      </c>
    </row>
    <row r="7" spans="1:2" ht="31.5" customHeight="1">
      <c r="A7" s="66">
        <v>5</v>
      </c>
      <c r="B7" s="67" t="s">
        <v>65</v>
      </c>
    </row>
    <row r="8" spans="1:2" ht="31.5" customHeight="1">
      <c r="A8" s="66">
        <v>6</v>
      </c>
      <c r="B8" s="67" t="s">
        <v>66</v>
      </c>
    </row>
    <row r="9" spans="1:2" ht="22.5" customHeight="1">
      <c r="A9" s="66">
        <v>7</v>
      </c>
      <c r="B9" s="68" t="s">
        <v>57</v>
      </c>
    </row>
    <row r="10" spans="1:2" ht="22.5" customHeight="1">
      <c r="A10" s="66">
        <v>8</v>
      </c>
      <c r="B10" s="68" t="s">
        <v>56</v>
      </c>
    </row>
    <row r="11" spans="1:2" ht="22.5" customHeight="1">
      <c r="A11" s="66">
        <v>9</v>
      </c>
      <c r="B11" s="68" t="s">
        <v>59</v>
      </c>
    </row>
    <row r="12" spans="1:2" ht="22.5" customHeight="1">
      <c r="A12" s="66">
        <v>10</v>
      </c>
      <c r="B12" s="68" t="s">
        <v>58</v>
      </c>
    </row>
    <row r="13" spans="1:2" ht="22.5" customHeight="1">
      <c r="A13" s="66">
        <v>11</v>
      </c>
      <c r="B13" s="68" t="s">
        <v>60</v>
      </c>
    </row>
    <row r="14" spans="1:2" ht="22.5" customHeight="1">
      <c r="A14" s="66">
        <v>12</v>
      </c>
      <c r="B14" s="140" t="s">
        <v>154</v>
      </c>
    </row>
    <row r="15" spans="1:2" ht="22.5" customHeight="1">
      <c r="A15" s="66">
        <v>13</v>
      </c>
      <c r="B15" s="68" t="s">
        <v>70</v>
      </c>
    </row>
    <row r="16" spans="1:2">
      <c r="A16" s="58"/>
    </row>
    <row r="17" spans="1:2">
      <c r="A17" s="56"/>
    </row>
    <row r="18" spans="1:2" ht="33" customHeight="1">
      <c r="A18" s="65" t="s">
        <v>73</v>
      </c>
      <c r="B18" s="64" t="s">
        <v>72</v>
      </c>
    </row>
  </sheetData>
  <phoneticPr fontId="3" type="noConversion"/>
  <hyperlinks>
    <hyperlink ref="B14" location="工厂名和客户品牌的规范叫法!A1" display="工厂、客户/品牌的填写规范，见“工厂名和客户品牌的规范叫法”"/>
    <hyperlink ref="B18" location="生产通知单模版!A1" display="打开标准格式的“生产通知单模板”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FF0000"/>
    <pageSetUpPr fitToPage="1"/>
  </sheetPr>
  <dimension ref="A1:U69"/>
  <sheetViews>
    <sheetView tabSelected="1" workbookViewId="0">
      <selection activeCell="C54" sqref="C54:D54"/>
    </sheetView>
  </sheetViews>
  <sheetFormatPr defaultColWidth="9" defaultRowHeight="13.5"/>
  <cols>
    <col min="1" max="1" width="9.25" style="1" customWidth="1"/>
    <col min="2" max="2" width="11.375" style="1" customWidth="1"/>
    <col min="3" max="3" width="11.5" style="1" customWidth="1"/>
    <col min="4" max="4" width="9.5" style="1" customWidth="1"/>
    <col min="5" max="5" width="10.25" style="1" customWidth="1"/>
    <col min="6" max="6" width="7.5" style="1" customWidth="1"/>
    <col min="7" max="7" width="8.125" style="1" customWidth="1"/>
    <col min="8" max="8" width="13.875" style="1" customWidth="1"/>
    <col min="9" max="9" width="7.5" style="1" customWidth="1"/>
    <col min="10" max="10" width="10.75" style="1" customWidth="1"/>
    <col min="11" max="11" width="8.125" style="1" customWidth="1"/>
    <col min="12" max="12" width="8.375" style="1" customWidth="1"/>
    <col min="13" max="13" width="7.5" style="1" customWidth="1"/>
    <col min="14" max="14" width="7.375" style="1" customWidth="1"/>
    <col min="15" max="15" width="15.125" style="1" customWidth="1"/>
    <col min="16" max="16" width="9.25" style="1" customWidth="1"/>
    <col min="17" max="17" width="9" style="1" customWidth="1"/>
    <col min="18" max="18" width="9.25" style="4" customWidth="1"/>
    <col min="19" max="19" width="7.5" style="1" customWidth="1"/>
    <col min="20" max="20" width="11.625" style="1" customWidth="1"/>
    <col min="21" max="16384" width="9" style="1"/>
  </cols>
  <sheetData>
    <row r="1" spans="1:20" ht="27">
      <c r="A1" s="246" t="s">
        <v>144</v>
      </c>
      <c r="B1" s="246"/>
      <c r="C1" s="144">
        <v>141001</v>
      </c>
      <c r="D1" s="113"/>
      <c r="E1" s="145" t="s">
        <v>145</v>
      </c>
      <c r="F1" s="247">
        <f>C7</f>
        <v>0</v>
      </c>
      <c r="G1" s="247"/>
      <c r="H1" s="146" t="s">
        <v>146</v>
      </c>
      <c r="I1" s="247">
        <f>C9</f>
        <v>0</v>
      </c>
      <c r="J1" s="247"/>
      <c r="K1" s="112" t="s">
        <v>143</v>
      </c>
      <c r="L1" s="112"/>
      <c r="M1" s="112"/>
      <c r="N1" s="112"/>
      <c r="O1" s="112"/>
      <c r="P1" s="112"/>
      <c r="Q1" s="112"/>
      <c r="R1" s="112"/>
      <c r="S1" s="112"/>
    </row>
    <row r="2" spans="1:20" s="24" customFormat="1" ht="15" thickBot="1">
      <c r="A2" s="2" t="s">
        <v>0</v>
      </c>
      <c r="B2" s="45"/>
      <c r="C2" s="2" t="s">
        <v>39</v>
      </c>
      <c r="D2" s="228" t="s">
        <v>217</v>
      </c>
      <c r="E2" s="228"/>
      <c r="F2" s="265" t="s">
        <v>37</v>
      </c>
      <c r="G2" s="265"/>
      <c r="H2" s="228" t="s">
        <v>218</v>
      </c>
      <c r="I2" s="228"/>
      <c r="J2" s="25" t="s">
        <v>47</v>
      </c>
      <c r="K2" s="229" t="s">
        <v>218</v>
      </c>
      <c r="L2" s="229"/>
      <c r="M2" s="274" t="s">
        <v>46</v>
      </c>
      <c r="N2" s="274"/>
      <c r="O2" s="54" t="s">
        <v>219</v>
      </c>
      <c r="P2" s="3" t="s">
        <v>2</v>
      </c>
      <c r="Q2" s="54" t="s">
        <v>220</v>
      </c>
      <c r="R2" s="3" t="s">
        <v>1</v>
      </c>
      <c r="S2" s="228"/>
      <c r="T2" s="228"/>
    </row>
    <row r="3" spans="1:20" ht="22.15" customHeight="1" thickBot="1">
      <c r="A3" s="258" t="s">
        <v>3</v>
      </c>
      <c r="B3" s="259"/>
      <c r="C3" s="259"/>
      <c r="D3" s="259"/>
      <c r="E3" s="259"/>
      <c r="F3" s="259"/>
      <c r="G3" s="259"/>
      <c r="H3" s="260"/>
      <c r="I3" s="261" t="s">
        <v>4</v>
      </c>
      <c r="J3" s="262"/>
      <c r="K3" s="262"/>
      <c r="L3" s="262"/>
      <c r="M3" s="262"/>
      <c r="N3" s="262"/>
      <c r="O3" s="263"/>
      <c r="P3" s="258" t="s">
        <v>5</v>
      </c>
      <c r="Q3" s="259"/>
      <c r="R3" s="259"/>
      <c r="S3" s="259"/>
      <c r="T3" s="260"/>
    </row>
    <row r="4" spans="1:20" s="5" customFormat="1" ht="22.15" customHeight="1">
      <c r="A4" s="244" t="s">
        <v>209</v>
      </c>
      <c r="B4" s="245"/>
      <c r="C4" s="267"/>
      <c r="D4" s="267"/>
      <c r="E4" s="245" t="s">
        <v>6</v>
      </c>
      <c r="F4" s="245"/>
      <c r="G4" s="268"/>
      <c r="H4" s="269"/>
      <c r="I4" s="244" t="s">
        <v>41</v>
      </c>
      <c r="J4" s="245"/>
      <c r="K4" s="270"/>
      <c r="L4" s="271"/>
      <c r="M4" s="245" t="s">
        <v>42</v>
      </c>
      <c r="N4" s="245"/>
      <c r="O4" s="48"/>
      <c r="P4" s="280"/>
      <c r="Q4" s="281"/>
      <c r="R4" s="281"/>
      <c r="S4" s="281"/>
      <c r="T4" s="282"/>
    </row>
    <row r="5" spans="1:20" s="5" customFormat="1" ht="22.15" customHeight="1">
      <c r="A5" s="206" t="s">
        <v>7</v>
      </c>
      <c r="B5" s="207"/>
      <c r="C5" s="224"/>
      <c r="D5" s="224"/>
      <c r="E5" s="207" t="s">
        <v>49</v>
      </c>
      <c r="F5" s="207"/>
      <c r="G5" s="242"/>
      <c r="H5" s="243"/>
      <c r="I5" s="206"/>
      <c r="J5" s="207"/>
      <c r="K5" s="272"/>
      <c r="L5" s="273"/>
      <c r="M5" s="207" t="s">
        <v>43</v>
      </c>
      <c r="N5" s="207"/>
      <c r="O5" s="49"/>
      <c r="P5" s="277"/>
      <c r="Q5" s="278"/>
      <c r="R5" s="278"/>
      <c r="S5" s="278"/>
      <c r="T5" s="279"/>
    </row>
    <row r="6" spans="1:20" s="5" customFormat="1" ht="22.15" customHeight="1">
      <c r="A6" s="206" t="s">
        <v>9</v>
      </c>
      <c r="B6" s="207"/>
      <c r="C6" s="224"/>
      <c r="D6" s="224"/>
      <c r="E6" s="207" t="s">
        <v>50</v>
      </c>
      <c r="F6" s="207"/>
      <c r="G6" s="242"/>
      <c r="H6" s="243"/>
      <c r="I6" s="206" t="s">
        <v>8</v>
      </c>
      <c r="J6" s="207"/>
      <c r="K6" s="266"/>
      <c r="L6" s="266"/>
      <c r="M6" s="207" t="s">
        <v>44</v>
      </c>
      <c r="N6" s="207"/>
      <c r="O6" s="49"/>
      <c r="P6" s="255"/>
      <c r="Q6" s="256"/>
      <c r="R6" s="256"/>
      <c r="S6" s="256"/>
      <c r="T6" s="257"/>
    </row>
    <row r="7" spans="1:20" s="5" customFormat="1" ht="32.25" customHeight="1" thickBot="1">
      <c r="A7" s="206" t="s">
        <v>11</v>
      </c>
      <c r="B7" s="207"/>
      <c r="C7" s="232"/>
      <c r="D7" s="233"/>
      <c r="E7" s="149" t="s">
        <v>287</v>
      </c>
      <c r="F7" s="150"/>
      <c r="G7" s="174" t="s">
        <v>296</v>
      </c>
      <c r="H7" s="175"/>
      <c r="I7" s="239" t="s">
        <v>10</v>
      </c>
      <c r="J7" s="217"/>
      <c r="K7" s="264"/>
      <c r="L7" s="264"/>
      <c r="M7" s="217" t="s">
        <v>45</v>
      </c>
      <c r="N7" s="217"/>
      <c r="O7" s="50"/>
      <c r="P7" s="252"/>
      <c r="Q7" s="253"/>
      <c r="R7" s="253"/>
      <c r="S7" s="253"/>
      <c r="T7" s="254"/>
    </row>
    <row r="8" spans="1:20" s="5" customFormat="1" ht="22.15" customHeight="1" thickBot="1">
      <c r="A8" s="230" t="s">
        <v>12</v>
      </c>
      <c r="B8" s="231"/>
      <c r="C8" s="224"/>
      <c r="D8" s="224"/>
      <c r="E8" s="207" t="s">
        <v>40</v>
      </c>
      <c r="F8" s="207"/>
      <c r="G8" s="240"/>
      <c r="H8" s="241"/>
      <c r="I8" s="251" t="s">
        <v>13</v>
      </c>
      <c r="J8" s="251"/>
      <c r="K8" s="251"/>
      <c r="L8" s="251"/>
      <c r="M8" s="251"/>
      <c r="N8" s="251"/>
      <c r="O8" s="251"/>
      <c r="P8" s="252"/>
      <c r="Q8" s="253"/>
      <c r="R8" s="253"/>
      <c r="S8" s="253"/>
      <c r="T8" s="254"/>
    </row>
    <row r="9" spans="1:20" s="5" customFormat="1" ht="22.15" customHeight="1">
      <c r="A9" s="230" t="s">
        <v>14</v>
      </c>
      <c r="B9" s="231"/>
      <c r="C9" s="232"/>
      <c r="D9" s="233"/>
      <c r="E9" s="207" t="s">
        <v>36</v>
      </c>
      <c r="F9" s="207"/>
      <c r="G9" s="234" t="s">
        <v>221</v>
      </c>
      <c r="H9" s="235"/>
      <c r="I9" s="236" t="s">
        <v>15</v>
      </c>
      <c r="J9" s="237"/>
      <c r="K9" s="238"/>
      <c r="L9" s="238"/>
      <c r="M9" s="237" t="s">
        <v>16</v>
      </c>
      <c r="N9" s="237"/>
      <c r="O9" s="51"/>
      <c r="P9" s="252"/>
      <c r="Q9" s="253"/>
      <c r="R9" s="253"/>
      <c r="S9" s="253"/>
      <c r="T9" s="254"/>
    </row>
    <row r="10" spans="1:20" s="5" customFormat="1" ht="22.15" customHeight="1">
      <c r="A10" s="206" t="s">
        <v>17</v>
      </c>
      <c r="B10" s="207"/>
      <c r="C10" s="224"/>
      <c r="D10" s="224"/>
      <c r="E10" s="225" t="s">
        <v>18</v>
      </c>
      <c r="F10" s="225"/>
      <c r="G10" s="226"/>
      <c r="H10" s="227"/>
      <c r="I10" s="211" t="s">
        <v>19</v>
      </c>
      <c r="J10" s="207"/>
      <c r="K10" s="212"/>
      <c r="L10" s="212"/>
      <c r="M10" s="207" t="s">
        <v>20</v>
      </c>
      <c r="N10" s="207"/>
      <c r="O10" s="52"/>
      <c r="P10" s="252"/>
      <c r="Q10" s="253"/>
      <c r="R10" s="253"/>
      <c r="S10" s="253"/>
      <c r="T10" s="254"/>
    </row>
    <row r="11" spans="1:20" s="5" customFormat="1" ht="22.15" customHeight="1" thickBot="1">
      <c r="A11" s="206" t="s">
        <v>21</v>
      </c>
      <c r="B11" s="207"/>
      <c r="C11" s="208"/>
      <c r="D11" s="208"/>
      <c r="E11" s="207" t="s">
        <v>51</v>
      </c>
      <c r="F11" s="207"/>
      <c r="G11" s="209"/>
      <c r="H11" s="210"/>
      <c r="I11" s="211" t="s">
        <v>22</v>
      </c>
      <c r="J11" s="207"/>
      <c r="K11" s="212"/>
      <c r="L11" s="212"/>
      <c r="M11" s="207" t="s">
        <v>23</v>
      </c>
      <c r="N11" s="207"/>
      <c r="O11" s="52"/>
      <c r="P11" s="213"/>
      <c r="Q11" s="214"/>
      <c r="R11" s="214"/>
      <c r="S11" s="214"/>
      <c r="T11" s="215"/>
    </row>
    <row r="12" spans="1:20" s="5" customFormat="1" ht="22.15" customHeight="1" thickBot="1">
      <c r="A12" s="222" t="s">
        <v>35</v>
      </c>
      <c r="B12" s="223"/>
      <c r="C12" s="216"/>
      <c r="D12" s="216"/>
      <c r="E12" s="217" t="s">
        <v>52</v>
      </c>
      <c r="F12" s="217"/>
      <c r="G12" s="218"/>
      <c r="H12" s="219"/>
      <c r="I12" s="220" t="s">
        <v>24</v>
      </c>
      <c r="J12" s="217"/>
      <c r="K12" s="221"/>
      <c r="L12" s="221"/>
      <c r="M12" s="217" t="s">
        <v>25</v>
      </c>
      <c r="N12" s="217"/>
      <c r="O12" s="53"/>
      <c r="P12" s="46" t="s">
        <v>38</v>
      </c>
      <c r="Q12" s="47"/>
      <c r="R12" s="248" t="s">
        <v>48</v>
      </c>
      <c r="S12" s="249"/>
      <c r="T12" s="250"/>
    </row>
    <row r="13" spans="1:20" ht="22.15" customHeight="1" thickBot="1">
      <c r="A13" s="190" t="s">
        <v>61</v>
      </c>
      <c r="B13" s="191"/>
      <c r="C13" s="191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258" t="s">
        <v>26</v>
      </c>
      <c r="S13" s="259"/>
      <c r="T13" s="6" t="str">
        <f>IF(G10=T21,"总数准确","总数错误")</f>
        <v>总数准确</v>
      </c>
    </row>
    <row r="14" spans="1:20" s="9" customFormat="1" ht="22.15" customHeight="1" thickBot="1">
      <c r="A14" s="7" t="s">
        <v>27</v>
      </c>
      <c r="B14" s="8" t="s">
        <v>28</v>
      </c>
      <c r="C14" s="70" t="s">
        <v>140</v>
      </c>
      <c r="D14" s="159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1"/>
      <c r="T14" s="37" t="s">
        <v>30</v>
      </c>
    </row>
    <row r="15" spans="1:20" ht="22.15" customHeight="1">
      <c r="A15" s="10"/>
      <c r="B15" s="11"/>
      <c r="C15" s="12"/>
      <c r="D15" s="166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8"/>
      <c r="T15" s="158">
        <f>SUM(D15:S15)</f>
        <v>0</v>
      </c>
    </row>
    <row r="16" spans="1:20" ht="22.15" customHeight="1">
      <c r="A16" s="10"/>
      <c r="B16" s="11"/>
      <c r="C16" s="15"/>
      <c r="D16" s="169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70"/>
      <c r="T16" s="158">
        <f>SUM(D16:S16)</f>
        <v>0</v>
      </c>
    </row>
    <row r="17" spans="1:20" ht="22.15" customHeight="1">
      <c r="A17" s="10"/>
      <c r="B17" s="11"/>
      <c r="C17" s="15"/>
      <c r="D17" s="169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70"/>
      <c r="T17" s="158">
        <f t="shared" ref="T17:T20" si="0">SUM(D17:S17)</f>
        <v>0</v>
      </c>
    </row>
    <row r="18" spans="1:20" ht="22.15" customHeight="1">
      <c r="A18" s="13"/>
      <c r="B18" s="14"/>
      <c r="C18" s="15"/>
      <c r="D18" s="169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70"/>
      <c r="T18" s="158">
        <f t="shared" si="0"/>
        <v>0</v>
      </c>
    </row>
    <row r="19" spans="1:20" ht="22.15" customHeight="1">
      <c r="A19" s="13"/>
      <c r="B19" s="14"/>
      <c r="C19" s="15"/>
      <c r="D19" s="169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70"/>
      <c r="T19" s="158">
        <f t="shared" si="0"/>
        <v>0</v>
      </c>
    </row>
    <row r="20" spans="1:20" ht="22.15" customHeight="1" thickBot="1">
      <c r="A20" s="16"/>
      <c r="B20" s="17"/>
      <c r="C20" s="18"/>
      <c r="D20" s="171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3"/>
      <c r="T20" s="158">
        <f t="shared" si="0"/>
        <v>0</v>
      </c>
    </row>
    <row r="21" spans="1:20" ht="22.15" customHeight="1" thickBot="1">
      <c r="A21" s="187" t="s">
        <v>31</v>
      </c>
      <c r="B21" s="188"/>
      <c r="C21" s="189"/>
      <c r="D21" s="162">
        <f t="shared" ref="D21:S21" si="1">SUM(D15:D20)</f>
        <v>0</v>
      </c>
      <c r="E21" s="163">
        <f t="shared" si="1"/>
        <v>0</v>
      </c>
      <c r="F21" s="163">
        <f t="shared" si="1"/>
        <v>0</v>
      </c>
      <c r="G21" s="163">
        <f t="shared" si="1"/>
        <v>0</v>
      </c>
      <c r="H21" s="163">
        <f t="shared" si="1"/>
        <v>0</v>
      </c>
      <c r="I21" s="163">
        <f t="shared" si="1"/>
        <v>0</v>
      </c>
      <c r="J21" s="163">
        <f t="shared" si="1"/>
        <v>0</v>
      </c>
      <c r="K21" s="163">
        <f t="shared" si="1"/>
        <v>0</v>
      </c>
      <c r="L21" s="163">
        <f t="shared" si="1"/>
        <v>0</v>
      </c>
      <c r="M21" s="163">
        <f t="shared" si="1"/>
        <v>0</v>
      </c>
      <c r="N21" s="163">
        <f t="shared" si="1"/>
        <v>0</v>
      </c>
      <c r="O21" s="163">
        <f t="shared" si="1"/>
        <v>0</v>
      </c>
      <c r="P21" s="163">
        <f t="shared" si="1"/>
        <v>0</v>
      </c>
      <c r="Q21" s="163">
        <f t="shared" si="1"/>
        <v>0</v>
      </c>
      <c r="R21" s="163">
        <f t="shared" si="1"/>
        <v>0</v>
      </c>
      <c r="S21" s="164">
        <f t="shared" si="1"/>
        <v>0</v>
      </c>
      <c r="T21" s="19">
        <f>SUM(D21:S21)</f>
        <v>0</v>
      </c>
    </row>
    <row r="22" spans="1:20" ht="22.15" customHeight="1" thickBot="1">
      <c r="A22" s="190" t="s">
        <v>32</v>
      </c>
      <c r="B22" s="191"/>
      <c r="C22" s="191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275" t="s">
        <v>33</v>
      </c>
      <c r="R22" s="192"/>
      <c r="S22" s="31" t="e">
        <f>(T30/G10-1)</f>
        <v>#DIV/0!</v>
      </c>
      <c r="T22" s="26" t="e">
        <f>IF(S22-1%&gt;G7,"加裁偏大",IF(S22+1%&lt;G7,"加裁偏小","比例正确"))</f>
        <v>#DIV/0!</v>
      </c>
    </row>
    <row r="23" spans="1:20" s="29" customFormat="1" ht="22.15" customHeight="1" thickBot="1">
      <c r="A23" s="71" t="s">
        <v>27</v>
      </c>
      <c r="B23" s="72" t="s">
        <v>28</v>
      </c>
      <c r="C23" s="73" t="s">
        <v>29</v>
      </c>
      <c r="D23" s="60" t="str">
        <f>IF(D14="","",D14)</f>
        <v/>
      </c>
      <c r="E23" s="27" t="str">
        <f t="shared" ref="E23:S23" si="2">IF(E14="","",E14)</f>
        <v/>
      </c>
      <c r="F23" s="27" t="str">
        <f t="shared" si="2"/>
        <v/>
      </c>
      <c r="G23" s="27" t="str">
        <f t="shared" si="2"/>
        <v/>
      </c>
      <c r="H23" s="27" t="str">
        <f t="shared" si="2"/>
        <v/>
      </c>
      <c r="I23" s="27" t="str">
        <f t="shared" si="2"/>
        <v/>
      </c>
      <c r="J23" s="27" t="str">
        <f t="shared" si="2"/>
        <v/>
      </c>
      <c r="K23" s="27" t="str">
        <f t="shared" si="2"/>
        <v/>
      </c>
      <c r="L23" s="27" t="str">
        <f t="shared" si="2"/>
        <v/>
      </c>
      <c r="M23" s="27" t="str">
        <f t="shared" si="2"/>
        <v/>
      </c>
      <c r="N23" s="27" t="str">
        <f t="shared" si="2"/>
        <v/>
      </c>
      <c r="O23" s="27" t="str">
        <f t="shared" si="2"/>
        <v/>
      </c>
      <c r="P23" s="27" t="str">
        <f t="shared" si="2"/>
        <v/>
      </c>
      <c r="Q23" s="27" t="str">
        <f t="shared" si="2"/>
        <v/>
      </c>
      <c r="R23" s="27" t="str">
        <f t="shared" si="2"/>
        <v/>
      </c>
      <c r="S23" s="28" t="str">
        <f t="shared" si="2"/>
        <v/>
      </c>
      <c r="T23" s="37" t="s">
        <v>34</v>
      </c>
    </row>
    <row r="24" spans="1:20" ht="22.15" customHeight="1">
      <c r="A24" s="20" t="str">
        <f>IF(A15="","",A15)</f>
        <v/>
      </c>
      <c r="B24" s="21" t="str">
        <f>IF(B15="","",B15)</f>
        <v/>
      </c>
      <c r="C24" s="151" t="str">
        <f t="shared" ref="C24" si="3">IF(C15="","",C15)</f>
        <v/>
      </c>
      <c r="D24" s="154" t="str">
        <f>IF(D15="","",CEILING(D15*(1+$F$7),1))</f>
        <v/>
      </c>
      <c r="E24" s="38" t="str">
        <f t="shared" ref="E24:S24" si="4">IF(E15="","",CEILING(E15*(1+$F$7),1))</f>
        <v/>
      </c>
      <c r="F24" s="153" t="str">
        <f t="shared" si="4"/>
        <v/>
      </c>
      <c r="G24" s="153" t="str">
        <f t="shared" si="4"/>
        <v/>
      </c>
      <c r="H24" s="153" t="str">
        <f t="shared" si="4"/>
        <v/>
      </c>
      <c r="I24" s="153" t="str">
        <f t="shared" si="4"/>
        <v/>
      </c>
      <c r="J24" s="153" t="str">
        <f t="shared" si="4"/>
        <v/>
      </c>
      <c r="K24" s="153" t="str">
        <f t="shared" si="4"/>
        <v/>
      </c>
      <c r="L24" s="153" t="str">
        <f t="shared" si="4"/>
        <v/>
      </c>
      <c r="M24" s="153" t="str">
        <f t="shared" si="4"/>
        <v/>
      </c>
      <c r="N24" s="153" t="str">
        <f t="shared" si="4"/>
        <v/>
      </c>
      <c r="O24" s="153" t="str">
        <f t="shared" si="4"/>
        <v/>
      </c>
      <c r="P24" s="153" t="str">
        <f t="shared" si="4"/>
        <v/>
      </c>
      <c r="Q24" s="153" t="str">
        <f t="shared" si="4"/>
        <v/>
      </c>
      <c r="R24" s="153" t="str">
        <f t="shared" si="4"/>
        <v/>
      </c>
      <c r="S24" s="157" t="str">
        <f t="shared" si="4"/>
        <v/>
      </c>
      <c r="T24" s="36">
        <f>SUM(D24:S24)</f>
        <v>0</v>
      </c>
    </row>
    <row r="25" spans="1:20" ht="22.15" customHeight="1">
      <c r="A25" s="22" t="str">
        <f t="shared" ref="A25:C29" si="5">IF(A16="","",A16)</f>
        <v/>
      </c>
      <c r="B25" s="23" t="str">
        <f t="shared" si="5"/>
        <v/>
      </c>
      <c r="C25" s="151" t="str">
        <f t="shared" ref="C25" si="6">IF(C16="","",C16)</f>
        <v/>
      </c>
      <c r="D25" s="155" t="str">
        <f t="shared" ref="D25:S25" si="7">IF(D16="","",CEILING(D16*(1+$F$7),1))</f>
        <v/>
      </c>
      <c r="E25" s="39" t="str">
        <f t="shared" si="7"/>
        <v/>
      </c>
      <c r="F25" s="39" t="str">
        <f t="shared" si="7"/>
        <v/>
      </c>
      <c r="G25" s="39" t="str">
        <f t="shared" si="7"/>
        <v/>
      </c>
      <c r="H25" s="39" t="str">
        <f t="shared" si="7"/>
        <v/>
      </c>
      <c r="I25" s="39" t="str">
        <f t="shared" si="7"/>
        <v/>
      </c>
      <c r="J25" s="39" t="str">
        <f t="shared" si="7"/>
        <v/>
      </c>
      <c r="K25" s="39" t="str">
        <f t="shared" si="7"/>
        <v/>
      </c>
      <c r="L25" s="39" t="str">
        <f t="shared" si="7"/>
        <v/>
      </c>
      <c r="M25" s="39" t="str">
        <f t="shared" si="7"/>
        <v/>
      </c>
      <c r="N25" s="39" t="str">
        <f t="shared" si="7"/>
        <v/>
      </c>
      <c r="O25" s="39" t="str">
        <f t="shared" si="7"/>
        <v/>
      </c>
      <c r="P25" s="39" t="str">
        <f t="shared" si="7"/>
        <v/>
      </c>
      <c r="Q25" s="39" t="str">
        <f t="shared" si="7"/>
        <v/>
      </c>
      <c r="R25" s="39" t="str">
        <f t="shared" si="7"/>
        <v/>
      </c>
      <c r="S25" s="40" t="str">
        <f t="shared" si="7"/>
        <v/>
      </c>
      <c r="T25" s="30">
        <f t="shared" ref="T25:T29" si="8">SUM(D25:S25)</f>
        <v>0</v>
      </c>
    </row>
    <row r="26" spans="1:20" ht="22.15" customHeight="1">
      <c r="A26" s="22" t="str">
        <f t="shared" si="5"/>
        <v/>
      </c>
      <c r="B26" s="23" t="str">
        <f t="shared" si="5"/>
        <v/>
      </c>
      <c r="C26" s="151" t="str">
        <f t="shared" ref="C26" si="9">IF(C17="","",C17)</f>
        <v/>
      </c>
      <c r="D26" s="155" t="str">
        <f t="shared" ref="D26:S26" si="10">IF(D17="","",CEILING(D17*(1+$F$7),1))</f>
        <v/>
      </c>
      <c r="E26" s="39" t="str">
        <f t="shared" si="10"/>
        <v/>
      </c>
      <c r="F26" s="39" t="str">
        <f t="shared" si="10"/>
        <v/>
      </c>
      <c r="G26" s="39" t="str">
        <f t="shared" si="10"/>
        <v/>
      </c>
      <c r="H26" s="39" t="str">
        <f t="shared" si="10"/>
        <v/>
      </c>
      <c r="I26" s="39" t="str">
        <f t="shared" si="10"/>
        <v/>
      </c>
      <c r="J26" s="39" t="str">
        <f t="shared" si="10"/>
        <v/>
      </c>
      <c r="K26" s="39" t="str">
        <f t="shared" si="10"/>
        <v/>
      </c>
      <c r="L26" s="39" t="str">
        <f t="shared" si="10"/>
        <v/>
      </c>
      <c r="M26" s="39" t="str">
        <f t="shared" si="10"/>
        <v/>
      </c>
      <c r="N26" s="39" t="str">
        <f t="shared" si="10"/>
        <v/>
      </c>
      <c r="O26" s="39" t="str">
        <f t="shared" si="10"/>
        <v/>
      </c>
      <c r="P26" s="39" t="str">
        <f t="shared" si="10"/>
        <v/>
      </c>
      <c r="Q26" s="39" t="str">
        <f t="shared" si="10"/>
        <v/>
      </c>
      <c r="R26" s="39" t="str">
        <f t="shared" si="10"/>
        <v/>
      </c>
      <c r="S26" s="40" t="str">
        <f t="shared" si="10"/>
        <v/>
      </c>
      <c r="T26" s="30">
        <f t="shared" si="8"/>
        <v>0</v>
      </c>
    </row>
    <row r="27" spans="1:20" ht="22.15" customHeight="1">
      <c r="A27" s="22" t="str">
        <f t="shared" si="5"/>
        <v/>
      </c>
      <c r="B27" s="23" t="str">
        <f t="shared" si="5"/>
        <v/>
      </c>
      <c r="C27" s="151" t="str">
        <f t="shared" si="5"/>
        <v/>
      </c>
      <c r="D27" s="155" t="str">
        <f t="shared" ref="D27:S27" si="11">IF(D18="","",CEILING(D18*(1+$F$7),1))</f>
        <v/>
      </c>
      <c r="E27" s="39" t="str">
        <f t="shared" si="11"/>
        <v/>
      </c>
      <c r="F27" s="39" t="str">
        <f t="shared" si="11"/>
        <v/>
      </c>
      <c r="G27" s="39" t="str">
        <f t="shared" si="11"/>
        <v/>
      </c>
      <c r="H27" s="39" t="str">
        <f t="shared" si="11"/>
        <v/>
      </c>
      <c r="I27" s="39" t="str">
        <f t="shared" si="11"/>
        <v/>
      </c>
      <c r="J27" s="39" t="str">
        <f t="shared" si="11"/>
        <v/>
      </c>
      <c r="K27" s="39" t="str">
        <f t="shared" si="11"/>
        <v/>
      </c>
      <c r="L27" s="39" t="str">
        <f t="shared" si="11"/>
        <v/>
      </c>
      <c r="M27" s="39" t="str">
        <f t="shared" si="11"/>
        <v/>
      </c>
      <c r="N27" s="39" t="str">
        <f t="shared" si="11"/>
        <v/>
      </c>
      <c r="O27" s="39" t="str">
        <f t="shared" si="11"/>
        <v/>
      </c>
      <c r="P27" s="39" t="str">
        <f t="shared" si="11"/>
        <v/>
      </c>
      <c r="Q27" s="39" t="str">
        <f t="shared" si="11"/>
        <v/>
      </c>
      <c r="R27" s="39" t="str">
        <f t="shared" si="11"/>
        <v/>
      </c>
      <c r="S27" s="40" t="str">
        <f t="shared" si="11"/>
        <v/>
      </c>
      <c r="T27" s="30">
        <f t="shared" si="8"/>
        <v>0</v>
      </c>
    </row>
    <row r="28" spans="1:20" ht="22.15" customHeight="1">
      <c r="A28" s="22" t="str">
        <f t="shared" si="5"/>
        <v/>
      </c>
      <c r="B28" s="23" t="str">
        <f t="shared" si="5"/>
        <v/>
      </c>
      <c r="C28" s="151" t="str">
        <f t="shared" si="5"/>
        <v/>
      </c>
      <c r="D28" s="155" t="str">
        <f t="shared" ref="D28:S28" si="12">IF(D19="","",CEILING(D19*(1+$F$7),1))</f>
        <v/>
      </c>
      <c r="E28" s="39" t="str">
        <f t="shared" si="12"/>
        <v/>
      </c>
      <c r="F28" s="39" t="str">
        <f t="shared" si="12"/>
        <v/>
      </c>
      <c r="G28" s="39" t="str">
        <f t="shared" si="12"/>
        <v/>
      </c>
      <c r="H28" s="39" t="str">
        <f t="shared" si="12"/>
        <v/>
      </c>
      <c r="I28" s="39" t="str">
        <f t="shared" si="12"/>
        <v/>
      </c>
      <c r="J28" s="39" t="str">
        <f t="shared" si="12"/>
        <v/>
      </c>
      <c r="K28" s="39" t="str">
        <f t="shared" si="12"/>
        <v/>
      </c>
      <c r="L28" s="39" t="str">
        <f t="shared" si="12"/>
        <v/>
      </c>
      <c r="M28" s="39" t="str">
        <f t="shared" si="12"/>
        <v/>
      </c>
      <c r="N28" s="39" t="str">
        <f t="shared" si="12"/>
        <v/>
      </c>
      <c r="O28" s="39" t="str">
        <f t="shared" si="12"/>
        <v/>
      </c>
      <c r="P28" s="39" t="str">
        <f t="shared" si="12"/>
        <v/>
      </c>
      <c r="Q28" s="39" t="str">
        <f t="shared" si="12"/>
        <v/>
      </c>
      <c r="R28" s="39" t="str">
        <f t="shared" si="12"/>
        <v/>
      </c>
      <c r="S28" s="40" t="str">
        <f t="shared" si="12"/>
        <v/>
      </c>
      <c r="T28" s="30">
        <f t="shared" si="8"/>
        <v>0</v>
      </c>
    </row>
    <row r="29" spans="1:20" ht="22.15" customHeight="1" thickBot="1">
      <c r="A29" s="32" t="str">
        <f t="shared" si="5"/>
        <v/>
      </c>
      <c r="B29" s="33" t="str">
        <f t="shared" si="5"/>
        <v/>
      </c>
      <c r="C29" s="152" t="str">
        <f t="shared" si="5"/>
        <v/>
      </c>
      <c r="D29" s="156" t="str">
        <f t="shared" ref="D29:S29" si="13">IF(D20="","",CEILING(D20*(1+$F$7),1))</f>
        <v/>
      </c>
      <c r="E29" s="41" t="str">
        <f t="shared" si="13"/>
        <v/>
      </c>
      <c r="F29" s="41" t="str">
        <f t="shared" si="13"/>
        <v/>
      </c>
      <c r="G29" s="41" t="str">
        <f t="shared" si="13"/>
        <v/>
      </c>
      <c r="H29" s="41" t="str">
        <f t="shared" si="13"/>
        <v/>
      </c>
      <c r="I29" s="41" t="str">
        <f t="shared" si="13"/>
        <v/>
      </c>
      <c r="J29" s="41" t="str">
        <f t="shared" si="13"/>
        <v/>
      </c>
      <c r="K29" s="41" t="str">
        <f t="shared" si="13"/>
        <v/>
      </c>
      <c r="L29" s="41" t="str">
        <f t="shared" si="13"/>
        <v/>
      </c>
      <c r="M29" s="41" t="str">
        <f t="shared" si="13"/>
        <v/>
      </c>
      <c r="N29" s="41" t="str">
        <f t="shared" si="13"/>
        <v/>
      </c>
      <c r="O29" s="41" t="str">
        <f t="shared" si="13"/>
        <v/>
      </c>
      <c r="P29" s="41" t="str">
        <f t="shared" si="13"/>
        <v/>
      </c>
      <c r="Q29" s="41" t="str">
        <f t="shared" si="13"/>
        <v/>
      </c>
      <c r="R29" s="41" t="str">
        <f t="shared" si="13"/>
        <v/>
      </c>
      <c r="S29" s="42" t="str">
        <f t="shared" si="13"/>
        <v/>
      </c>
      <c r="T29" s="34">
        <f t="shared" si="8"/>
        <v>0</v>
      </c>
    </row>
    <row r="30" spans="1:20" ht="22.15" customHeight="1" thickBot="1">
      <c r="A30" s="193" t="s">
        <v>31</v>
      </c>
      <c r="B30" s="194"/>
      <c r="C30" s="195"/>
      <c r="D30" s="61">
        <f t="shared" ref="D30:S30" si="14">SUM(D24:D29)</f>
        <v>0</v>
      </c>
      <c r="E30" s="43">
        <f t="shared" si="14"/>
        <v>0</v>
      </c>
      <c r="F30" s="43">
        <f t="shared" si="14"/>
        <v>0</v>
      </c>
      <c r="G30" s="43">
        <f t="shared" si="14"/>
        <v>0</v>
      </c>
      <c r="H30" s="43">
        <f t="shared" si="14"/>
        <v>0</v>
      </c>
      <c r="I30" s="43">
        <f t="shared" si="14"/>
        <v>0</v>
      </c>
      <c r="J30" s="43">
        <f t="shared" si="14"/>
        <v>0</v>
      </c>
      <c r="K30" s="43">
        <f t="shared" si="14"/>
        <v>0</v>
      </c>
      <c r="L30" s="43">
        <f t="shared" si="14"/>
        <v>0</v>
      </c>
      <c r="M30" s="43">
        <f t="shared" si="14"/>
        <v>0</v>
      </c>
      <c r="N30" s="43">
        <f t="shared" si="14"/>
        <v>0</v>
      </c>
      <c r="O30" s="43">
        <f t="shared" si="14"/>
        <v>0</v>
      </c>
      <c r="P30" s="43">
        <f t="shared" si="14"/>
        <v>0</v>
      </c>
      <c r="Q30" s="43">
        <f t="shared" si="14"/>
        <v>0</v>
      </c>
      <c r="R30" s="43">
        <f t="shared" si="14"/>
        <v>0</v>
      </c>
      <c r="S30" s="44">
        <f t="shared" si="14"/>
        <v>0</v>
      </c>
      <c r="T30" s="35">
        <f>SUM(D30:S30)</f>
        <v>0</v>
      </c>
    </row>
    <row r="31" spans="1:20" ht="25.9" customHeight="1" thickBot="1">
      <c r="A31" s="114"/>
      <c r="B31" s="114"/>
      <c r="C31" s="114"/>
      <c r="D31" s="114" t="s">
        <v>141</v>
      </c>
      <c r="E31" s="284">
        <f>C7</f>
        <v>0</v>
      </c>
      <c r="F31" s="284"/>
      <c r="G31" s="114" t="s">
        <v>142</v>
      </c>
      <c r="H31" s="284">
        <f>C9</f>
        <v>0</v>
      </c>
      <c r="I31" s="284"/>
      <c r="J31" s="284"/>
      <c r="K31" s="114" t="s">
        <v>139</v>
      </c>
      <c r="L31" s="114"/>
      <c r="M31" s="114"/>
      <c r="N31" s="114"/>
      <c r="O31" s="114"/>
      <c r="P31" s="114"/>
      <c r="Q31" s="114"/>
      <c r="R31" s="114"/>
      <c r="S31" s="114"/>
      <c r="T31" s="114"/>
    </row>
    <row r="32" spans="1:20" s="80" customFormat="1" ht="41.25" thickBot="1">
      <c r="A32" s="115" t="s">
        <v>123</v>
      </c>
      <c r="B32" s="116" t="s">
        <v>124</v>
      </c>
      <c r="C32" s="199" t="s">
        <v>125</v>
      </c>
      <c r="D32" s="199"/>
      <c r="E32" s="116" t="s">
        <v>126</v>
      </c>
      <c r="F32" s="117" t="s">
        <v>63</v>
      </c>
      <c r="G32" s="118" t="s">
        <v>127</v>
      </c>
      <c r="H32" s="119" t="s">
        <v>128</v>
      </c>
      <c r="I32" s="120" t="s">
        <v>129</v>
      </c>
      <c r="J32" s="120" t="s">
        <v>147</v>
      </c>
      <c r="K32" s="120" t="s">
        <v>131</v>
      </c>
      <c r="L32" s="200" t="s">
        <v>132</v>
      </c>
      <c r="M32" s="201"/>
      <c r="N32" s="202"/>
      <c r="O32" s="119" t="s">
        <v>133</v>
      </c>
      <c r="P32" s="119" t="s">
        <v>134</v>
      </c>
      <c r="Q32" s="119" t="s">
        <v>135</v>
      </c>
      <c r="R32" s="119" t="s">
        <v>136</v>
      </c>
      <c r="S32" s="119" t="s">
        <v>137</v>
      </c>
      <c r="T32" s="121" t="s">
        <v>138</v>
      </c>
    </row>
    <row r="33" spans="1:20">
      <c r="A33" s="124"/>
      <c r="B33" s="125"/>
      <c r="C33" s="185"/>
      <c r="D33" s="185"/>
      <c r="E33" s="125"/>
      <c r="F33" s="125"/>
      <c r="G33" s="125"/>
      <c r="H33" s="126">
        <f>$T$30*G33</f>
        <v>0</v>
      </c>
      <c r="I33" s="127"/>
      <c r="J33" s="128">
        <f>H33*I33</f>
        <v>0</v>
      </c>
      <c r="K33" s="129" t="str">
        <f>IF($T$30=0,"",H33/$T$30)</f>
        <v/>
      </c>
      <c r="L33" s="203"/>
      <c r="M33" s="204"/>
      <c r="N33" s="205"/>
      <c r="O33" s="128"/>
      <c r="P33" s="130"/>
      <c r="Q33" s="131"/>
      <c r="R33" s="131"/>
      <c r="S33" s="127"/>
      <c r="T33" s="132"/>
    </row>
    <row r="34" spans="1:20">
      <c r="A34" s="81"/>
      <c r="B34" s="89"/>
      <c r="C34" s="186"/>
      <c r="D34" s="186"/>
      <c r="E34" s="90"/>
      <c r="F34" s="90"/>
      <c r="G34" s="91"/>
      <c r="H34" s="83">
        <f t="shared" ref="H34:H57" si="15">$T$30*G34</f>
        <v>0</v>
      </c>
      <c r="I34" s="84"/>
      <c r="J34" s="85">
        <f t="shared" ref="J34:J57" si="16">H34*I34</f>
        <v>0</v>
      </c>
      <c r="K34" s="84" t="str">
        <f t="shared" ref="K34:K57" si="17">IF($T$30=0,"",H34/$T$30)</f>
        <v/>
      </c>
      <c r="L34" s="196"/>
      <c r="M34" s="197"/>
      <c r="N34" s="198"/>
      <c r="O34" s="85"/>
      <c r="P34" s="86"/>
      <c r="Q34" s="87"/>
      <c r="R34" s="87"/>
      <c r="S34" s="84"/>
      <c r="T34" s="88"/>
    </row>
    <row r="35" spans="1:20">
      <c r="A35" s="81"/>
      <c r="B35" s="89"/>
      <c r="C35" s="186"/>
      <c r="D35" s="186"/>
      <c r="E35" s="82"/>
      <c r="F35" s="82"/>
      <c r="G35" s="89"/>
      <c r="H35" s="83">
        <f t="shared" si="15"/>
        <v>0</v>
      </c>
      <c r="I35" s="84"/>
      <c r="J35" s="85">
        <f t="shared" si="16"/>
        <v>0</v>
      </c>
      <c r="K35" s="84" t="str">
        <f t="shared" si="17"/>
        <v/>
      </c>
      <c r="L35" s="196"/>
      <c r="M35" s="197"/>
      <c r="N35" s="198"/>
      <c r="O35" s="85"/>
      <c r="P35" s="86"/>
      <c r="Q35" s="87"/>
      <c r="R35" s="87"/>
      <c r="S35" s="84"/>
      <c r="T35" s="88"/>
    </row>
    <row r="36" spans="1:20">
      <c r="A36" s="81"/>
      <c r="B36" s="89"/>
      <c r="C36" s="186"/>
      <c r="D36" s="186"/>
      <c r="E36" s="82"/>
      <c r="F36" s="82"/>
      <c r="G36" s="89"/>
      <c r="H36" s="83">
        <f t="shared" si="15"/>
        <v>0</v>
      </c>
      <c r="I36" s="84"/>
      <c r="J36" s="85">
        <f t="shared" si="16"/>
        <v>0</v>
      </c>
      <c r="K36" s="84" t="str">
        <f t="shared" si="17"/>
        <v/>
      </c>
      <c r="L36" s="196"/>
      <c r="M36" s="197"/>
      <c r="N36" s="198"/>
      <c r="O36" s="85"/>
      <c r="P36" s="86"/>
      <c r="Q36" s="87"/>
      <c r="R36" s="87"/>
      <c r="S36" s="84"/>
      <c r="T36" s="88"/>
    </row>
    <row r="37" spans="1:20">
      <c r="A37" s="92"/>
      <c r="B37" s="89"/>
      <c r="C37" s="186"/>
      <c r="D37" s="186"/>
      <c r="E37" s="82"/>
      <c r="F37" s="82"/>
      <c r="G37" s="89"/>
      <c r="H37" s="83">
        <f t="shared" si="15"/>
        <v>0</v>
      </c>
      <c r="I37" s="84"/>
      <c r="J37" s="85">
        <f t="shared" si="16"/>
        <v>0</v>
      </c>
      <c r="K37" s="84" t="str">
        <f t="shared" si="17"/>
        <v/>
      </c>
      <c r="L37" s="196"/>
      <c r="M37" s="197"/>
      <c r="N37" s="198"/>
      <c r="O37" s="85"/>
      <c r="P37" s="86"/>
      <c r="Q37" s="87"/>
      <c r="R37" s="87"/>
      <c r="S37" s="84"/>
      <c r="T37" s="88"/>
    </row>
    <row r="38" spans="1:20">
      <c r="A38" s="81"/>
      <c r="B38" s="82"/>
      <c r="C38" s="186"/>
      <c r="D38" s="186"/>
      <c r="E38" s="93"/>
      <c r="F38" s="93"/>
      <c r="G38" s="82"/>
      <c r="H38" s="83">
        <f t="shared" si="15"/>
        <v>0</v>
      </c>
      <c r="I38" s="84"/>
      <c r="J38" s="85">
        <f t="shared" si="16"/>
        <v>0</v>
      </c>
      <c r="K38" s="84" t="str">
        <f t="shared" si="17"/>
        <v/>
      </c>
      <c r="L38" s="196"/>
      <c r="M38" s="197"/>
      <c r="N38" s="198"/>
      <c r="O38" s="85"/>
      <c r="P38" s="86"/>
      <c r="Q38" s="87"/>
      <c r="R38" s="87"/>
      <c r="S38" s="84"/>
      <c r="T38" s="88"/>
    </row>
    <row r="39" spans="1:20">
      <c r="A39" s="81"/>
      <c r="B39" s="94"/>
      <c r="C39" s="186"/>
      <c r="D39" s="186"/>
      <c r="E39" s="95"/>
      <c r="F39" s="95"/>
      <c r="G39" s="82"/>
      <c r="H39" s="83">
        <f t="shared" si="15"/>
        <v>0</v>
      </c>
      <c r="I39" s="84"/>
      <c r="J39" s="85">
        <f t="shared" si="16"/>
        <v>0</v>
      </c>
      <c r="K39" s="84" t="str">
        <f t="shared" si="17"/>
        <v/>
      </c>
      <c r="L39" s="196"/>
      <c r="M39" s="197"/>
      <c r="N39" s="198"/>
      <c r="O39" s="85"/>
      <c r="P39" s="86"/>
      <c r="Q39" s="87"/>
      <c r="R39" s="87"/>
      <c r="S39" s="84"/>
      <c r="T39" s="88"/>
    </row>
    <row r="40" spans="1:20">
      <c r="A40" s="81"/>
      <c r="B40" s="89"/>
      <c r="C40" s="186"/>
      <c r="D40" s="186"/>
      <c r="E40" s="96"/>
      <c r="F40" s="96"/>
      <c r="G40" s="82"/>
      <c r="H40" s="83">
        <f t="shared" si="15"/>
        <v>0</v>
      </c>
      <c r="I40" s="84"/>
      <c r="J40" s="85">
        <f t="shared" si="16"/>
        <v>0</v>
      </c>
      <c r="K40" s="84" t="str">
        <f t="shared" si="17"/>
        <v/>
      </c>
      <c r="L40" s="196"/>
      <c r="M40" s="197"/>
      <c r="N40" s="198"/>
      <c r="O40" s="85"/>
      <c r="P40" s="86"/>
      <c r="Q40" s="87"/>
      <c r="R40" s="87"/>
      <c r="S40" s="84"/>
      <c r="T40" s="88"/>
    </row>
    <row r="41" spans="1:20">
      <c r="A41" s="81"/>
      <c r="B41" s="89"/>
      <c r="C41" s="186"/>
      <c r="D41" s="186"/>
      <c r="E41" s="96"/>
      <c r="F41" s="96"/>
      <c r="G41" s="82"/>
      <c r="H41" s="83">
        <f t="shared" si="15"/>
        <v>0</v>
      </c>
      <c r="I41" s="84"/>
      <c r="J41" s="85">
        <f t="shared" si="16"/>
        <v>0</v>
      </c>
      <c r="K41" s="84" t="str">
        <f t="shared" si="17"/>
        <v/>
      </c>
      <c r="L41" s="196"/>
      <c r="M41" s="197"/>
      <c r="N41" s="198"/>
      <c r="O41" s="85"/>
      <c r="P41" s="86"/>
      <c r="Q41" s="87"/>
      <c r="R41" s="87"/>
      <c r="S41" s="84"/>
      <c r="T41" s="88"/>
    </row>
    <row r="42" spans="1:20">
      <c r="A42" s="81"/>
      <c r="B42" s="89"/>
      <c r="C42" s="186"/>
      <c r="D42" s="186"/>
      <c r="E42" s="97"/>
      <c r="F42" s="97"/>
      <c r="G42" s="82"/>
      <c r="H42" s="83">
        <f t="shared" si="15"/>
        <v>0</v>
      </c>
      <c r="I42" s="84"/>
      <c r="J42" s="85">
        <f t="shared" si="16"/>
        <v>0</v>
      </c>
      <c r="K42" s="84" t="str">
        <f t="shared" si="17"/>
        <v/>
      </c>
      <c r="L42" s="196"/>
      <c r="M42" s="197"/>
      <c r="N42" s="198"/>
      <c r="O42" s="85"/>
      <c r="P42" s="86"/>
      <c r="Q42" s="87"/>
      <c r="R42" s="87"/>
      <c r="S42" s="84"/>
      <c r="T42" s="88"/>
    </row>
    <row r="43" spans="1:20">
      <c r="A43" s="81"/>
      <c r="B43" s="89"/>
      <c r="C43" s="186"/>
      <c r="D43" s="186"/>
      <c r="E43" s="98"/>
      <c r="F43" s="98"/>
      <c r="G43" s="91"/>
      <c r="H43" s="83">
        <f t="shared" si="15"/>
        <v>0</v>
      </c>
      <c r="I43" s="84"/>
      <c r="J43" s="85">
        <f t="shared" si="16"/>
        <v>0</v>
      </c>
      <c r="K43" s="84" t="str">
        <f t="shared" si="17"/>
        <v/>
      </c>
      <c r="L43" s="196"/>
      <c r="M43" s="197"/>
      <c r="N43" s="198"/>
      <c r="O43" s="85"/>
      <c r="P43" s="86"/>
      <c r="Q43" s="87"/>
      <c r="R43" s="87"/>
      <c r="S43" s="84"/>
      <c r="T43" s="88"/>
    </row>
    <row r="44" spans="1:20">
      <c r="A44" s="81"/>
      <c r="B44" s="89"/>
      <c r="C44" s="186"/>
      <c r="D44" s="186"/>
      <c r="E44" s="98"/>
      <c r="F44" s="98"/>
      <c r="G44" s="91"/>
      <c r="H44" s="83">
        <f t="shared" si="15"/>
        <v>0</v>
      </c>
      <c r="I44" s="84"/>
      <c r="J44" s="85">
        <f t="shared" si="16"/>
        <v>0</v>
      </c>
      <c r="K44" s="84" t="str">
        <f t="shared" si="17"/>
        <v/>
      </c>
      <c r="L44" s="196"/>
      <c r="M44" s="197"/>
      <c r="N44" s="198"/>
      <c r="O44" s="85"/>
      <c r="P44" s="86"/>
      <c r="Q44" s="87"/>
      <c r="R44" s="87"/>
      <c r="S44" s="84"/>
      <c r="T44" s="88"/>
    </row>
    <row r="45" spans="1:20">
      <c r="A45" s="81"/>
      <c r="B45" s="89"/>
      <c r="C45" s="186"/>
      <c r="D45" s="186"/>
      <c r="E45" s="98"/>
      <c r="F45" s="98"/>
      <c r="G45" s="91"/>
      <c r="H45" s="83">
        <f t="shared" si="15"/>
        <v>0</v>
      </c>
      <c r="I45" s="84"/>
      <c r="J45" s="85">
        <f t="shared" si="16"/>
        <v>0</v>
      </c>
      <c r="K45" s="84" t="str">
        <f t="shared" si="17"/>
        <v/>
      </c>
      <c r="L45" s="196"/>
      <c r="M45" s="197"/>
      <c r="N45" s="198"/>
      <c r="O45" s="85"/>
      <c r="P45" s="86"/>
      <c r="Q45" s="87"/>
      <c r="R45" s="87"/>
      <c r="S45" s="84"/>
      <c r="T45" s="88"/>
    </row>
    <row r="46" spans="1:20">
      <c r="A46" s="81"/>
      <c r="B46" s="94"/>
      <c r="C46" s="186"/>
      <c r="D46" s="186"/>
      <c r="E46" s="96"/>
      <c r="F46" s="96"/>
      <c r="G46" s="94"/>
      <c r="H46" s="83">
        <f t="shared" si="15"/>
        <v>0</v>
      </c>
      <c r="I46" s="84"/>
      <c r="J46" s="85">
        <f t="shared" si="16"/>
        <v>0</v>
      </c>
      <c r="K46" s="84" t="str">
        <f t="shared" si="17"/>
        <v/>
      </c>
      <c r="L46" s="196"/>
      <c r="M46" s="197"/>
      <c r="N46" s="198"/>
      <c r="O46" s="85"/>
      <c r="P46" s="86"/>
      <c r="Q46" s="87"/>
      <c r="R46" s="87"/>
      <c r="S46" s="84"/>
      <c r="T46" s="88"/>
    </row>
    <row r="47" spans="1:20">
      <c r="A47" s="81"/>
      <c r="B47" s="82"/>
      <c r="C47" s="186"/>
      <c r="D47" s="186"/>
      <c r="E47" s="99"/>
      <c r="F47" s="99"/>
      <c r="G47" s="82"/>
      <c r="H47" s="83">
        <f t="shared" si="15"/>
        <v>0</v>
      </c>
      <c r="I47" s="84"/>
      <c r="J47" s="85">
        <f t="shared" si="16"/>
        <v>0</v>
      </c>
      <c r="K47" s="84" t="str">
        <f t="shared" si="17"/>
        <v/>
      </c>
      <c r="L47" s="196"/>
      <c r="M47" s="197"/>
      <c r="N47" s="198"/>
      <c r="O47" s="85"/>
      <c r="P47" s="86"/>
      <c r="Q47" s="87"/>
      <c r="R47" s="87"/>
      <c r="S47" s="84"/>
      <c r="T47" s="88"/>
    </row>
    <row r="48" spans="1:20">
      <c r="A48" s="81"/>
      <c r="B48" s="82"/>
      <c r="C48" s="186"/>
      <c r="D48" s="186"/>
      <c r="E48" s="95"/>
      <c r="F48" s="95"/>
      <c r="G48" s="82"/>
      <c r="H48" s="83">
        <f t="shared" si="15"/>
        <v>0</v>
      </c>
      <c r="I48" s="84"/>
      <c r="J48" s="85">
        <f t="shared" si="16"/>
        <v>0</v>
      </c>
      <c r="K48" s="84" t="str">
        <f t="shared" si="17"/>
        <v/>
      </c>
      <c r="L48" s="196"/>
      <c r="M48" s="197"/>
      <c r="N48" s="198"/>
      <c r="O48" s="85"/>
      <c r="P48" s="86"/>
      <c r="Q48" s="87"/>
      <c r="R48" s="87"/>
      <c r="S48" s="84"/>
      <c r="T48" s="88"/>
    </row>
    <row r="49" spans="1:20">
      <c r="A49" s="81"/>
      <c r="B49" s="82"/>
      <c r="C49" s="186"/>
      <c r="D49" s="186"/>
      <c r="E49" s="95"/>
      <c r="F49" s="95"/>
      <c r="G49" s="82"/>
      <c r="H49" s="83">
        <f t="shared" si="15"/>
        <v>0</v>
      </c>
      <c r="I49" s="84"/>
      <c r="J49" s="85">
        <f t="shared" si="16"/>
        <v>0</v>
      </c>
      <c r="K49" s="84" t="str">
        <f t="shared" si="17"/>
        <v/>
      </c>
      <c r="L49" s="196"/>
      <c r="M49" s="197"/>
      <c r="N49" s="198"/>
      <c r="O49" s="85"/>
      <c r="P49" s="86"/>
      <c r="Q49" s="87"/>
      <c r="R49" s="87"/>
      <c r="S49" s="84"/>
      <c r="T49" s="88"/>
    </row>
    <row r="50" spans="1:20">
      <c r="A50" s="81"/>
      <c r="B50" s="82"/>
      <c r="C50" s="186"/>
      <c r="D50" s="186"/>
      <c r="E50" s="95"/>
      <c r="F50" s="95"/>
      <c r="G50" s="82"/>
      <c r="H50" s="83">
        <f t="shared" si="15"/>
        <v>0</v>
      </c>
      <c r="I50" s="84"/>
      <c r="J50" s="85">
        <f t="shared" si="16"/>
        <v>0</v>
      </c>
      <c r="K50" s="84" t="str">
        <f t="shared" si="17"/>
        <v/>
      </c>
      <c r="L50" s="196"/>
      <c r="M50" s="197"/>
      <c r="N50" s="198"/>
      <c r="O50" s="85"/>
      <c r="P50" s="86"/>
      <c r="Q50" s="87"/>
      <c r="R50" s="87"/>
      <c r="S50" s="84"/>
      <c r="T50" s="88"/>
    </row>
    <row r="51" spans="1:20">
      <c r="A51" s="81"/>
      <c r="B51" s="82"/>
      <c r="C51" s="186"/>
      <c r="D51" s="186"/>
      <c r="E51" s="95"/>
      <c r="F51" s="95"/>
      <c r="G51" s="82"/>
      <c r="H51" s="83">
        <f t="shared" si="15"/>
        <v>0</v>
      </c>
      <c r="I51" s="84"/>
      <c r="J51" s="85">
        <f t="shared" si="16"/>
        <v>0</v>
      </c>
      <c r="K51" s="84" t="str">
        <f t="shared" si="17"/>
        <v/>
      </c>
      <c r="L51" s="196"/>
      <c r="M51" s="197"/>
      <c r="N51" s="198"/>
      <c r="O51" s="85"/>
      <c r="P51" s="86"/>
      <c r="Q51" s="87"/>
      <c r="R51" s="87"/>
      <c r="S51" s="84"/>
      <c r="T51" s="88"/>
    </row>
    <row r="52" spans="1:20">
      <c r="A52" s="81"/>
      <c r="B52" s="82"/>
      <c r="C52" s="186"/>
      <c r="D52" s="186"/>
      <c r="E52" s="95"/>
      <c r="F52" s="95"/>
      <c r="G52" s="82"/>
      <c r="H52" s="83">
        <f t="shared" si="15"/>
        <v>0</v>
      </c>
      <c r="I52" s="84"/>
      <c r="J52" s="85">
        <f t="shared" si="16"/>
        <v>0</v>
      </c>
      <c r="K52" s="84" t="str">
        <f t="shared" si="17"/>
        <v/>
      </c>
      <c r="L52" s="196"/>
      <c r="M52" s="197"/>
      <c r="N52" s="198"/>
      <c r="O52" s="85"/>
      <c r="P52" s="86"/>
      <c r="Q52" s="87"/>
      <c r="R52" s="87"/>
      <c r="S52" s="84"/>
      <c r="T52" s="88"/>
    </row>
    <row r="53" spans="1:20">
      <c r="A53" s="81"/>
      <c r="B53" s="82"/>
      <c r="C53" s="186"/>
      <c r="D53" s="186"/>
      <c r="E53" s="95"/>
      <c r="F53" s="95"/>
      <c r="G53" s="82"/>
      <c r="H53" s="83">
        <f t="shared" si="15"/>
        <v>0</v>
      </c>
      <c r="I53" s="84"/>
      <c r="J53" s="85">
        <f t="shared" si="16"/>
        <v>0</v>
      </c>
      <c r="K53" s="84" t="str">
        <f t="shared" si="17"/>
        <v/>
      </c>
      <c r="L53" s="196"/>
      <c r="M53" s="197"/>
      <c r="N53" s="198"/>
      <c r="O53" s="85"/>
      <c r="P53" s="86"/>
      <c r="Q53" s="87"/>
      <c r="R53" s="87"/>
      <c r="S53" s="84"/>
      <c r="T53" s="88"/>
    </row>
    <row r="54" spans="1:20">
      <c r="A54" s="81"/>
      <c r="B54" s="82"/>
      <c r="C54" s="186"/>
      <c r="D54" s="186"/>
      <c r="E54" s="95"/>
      <c r="F54" s="95"/>
      <c r="G54" s="82"/>
      <c r="H54" s="83">
        <f t="shared" si="15"/>
        <v>0</v>
      </c>
      <c r="I54" s="84"/>
      <c r="J54" s="85">
        <f t="shared" si="16"/>
        <v>0</v>
      </c>
      <c r="K54" s="84" t="str">
        <f t="shared" si="17"/>
        <v/>
      </c>
      <c r="L54" s="196"/>
      <c r="M54" s="197"/>
      <c r="N54" s="198"/>
      <c r="O54" s="85"/>
      <c r="P54" s="86"/>
      <c r="Q54" s="87"/>
      <c r="R54" s="87"/>
      <c r="S54" s="84"/>
      <c r="T54" s="88"/>
    </row>
    <row r="55" spans="1:20">
      <c r="A55" s="81"/>
      <c r="B55" s="82"/>
      <c r="C55" s="186"/>
      <c r="D55" s="186"/>
      <c r="E55" s="95"/>
      <c r="F55" s="95"/>
      <c r="G55" s="100"/>
      <c r="H55" s="83">
        <f t="shared" si="15"/>
        <v>0</v>
      </c>
      <c r="I55" s="84"/>
      <c r="J55" s="85">
        <f t="shared" si="16"/>
        <v>0</v>
      </c>
      <c r="K55" s="84" t="str">
        <f t="shared" si="17"/>
        <v/>
      </c>
      <c r="L55" s="196"/>
      <c r="M55" s="197"/>
      <c r="N55" s="198"/>
      <c r="O55" s="85"/>
      <c r="P55" s="86"/>
      <c r="Q55" s="87"/>
      <c r="R55" s="87"/>
      <c r="S55" s="84"/>
      <c r="T55" s="88"/>
    </row>
    <row r="56" spans="1:20">
      <c r="A56" s="81"/>
      <c r="B56" s="82"/>
      <c r="C56" s="186"/>
      <c r="D56" s="186"/>
      <c r="E56" s="95"/>
      <c r="F56" s="95"/>
      <c r="G56" s="82"/>
      <c r="H56" s="83">
        <f t="shared" si="15"/>
        <v>0</v>
      </c>
      <c r="I56" s="84"/>
      <c r="J56" s="85">
        <f t="shared" si="16"/>
        <v>0</v>
      </c>
      <c r="K56" s="84" t="str">
        <f t="shared" si="17"/>
        <v/>
      </c>
      <c r="L56" s="196"/>
      <c r="M56" s="197"/>
      <c r="N56" s="198"/>
      <c r="O56" s="85"/>
      <c r="P56" s="86"/>
      <c r="Q56" s="87"/>
      <c r="R56" s="87"/>
      <c r="S56" s="84"/>
      <c r="T56" s="88"/>
    </row>
    <row r="57" spans="1:20">
      <c r="A57" s="92"/>
      <c r="B57" s="82"/>
      <c r="C57" s="186"/>
      <c r="D57" s="186"/>
      <c r="E57" s="95"/>
      <c r="F57" s="95"/>
      <c r="G57" s="82"/>
      <c r="H57" s="83">
        <f t="shared" si="15"/>
        <v>0</v>
      </c>
      <c r="I57" s="84"/>
      <c r="J57" s="85">
        <f t="shared" si="16"/>
        <v>0</v>
      </c>
      <c r="K57" s="84" t="str">
        <f t="shared" si="17"/>
        <v/>
      </c>
      <c r="L57" s="196"/>
      <c r="M57" s="197"/>
      <c r="N57" s="198"/>
      <c r="O57" s="85"/>
      <c r="P57" s="86"/>
      <c r="Q57" s="87"/>
      <c r="R57" s="87"/>
      <c r="S57" s="84"/>
      <c r="T57" s="88"/>
    </row>
    <row r="58" spans="1:20">
      <c r="A58" s="285" t="s">
        <v>153</v>
      </c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7"/>
    </row>
    <row r="59" spans="1:20" s="80" customFormat="1" ht="40.5">
      <c r="A59" s="133" t="s">
        <v>124</v>
      </c>
      <c r="B59" s="122" t="s">
        <v>125</v>
      </c>
      <c r="C59" s="74" t="s">
        <v>126</v>
      </c>
      <c r="D59" s="137" t="s">
        <v>63</v>
      </c>
      <c r="E59" s="76" t="s">
        <v>149</v>
      </c>
      <c r="F59" s="75" t="s">
        <v>150</v>
      </c>
      <c r="G59" s="76" t="s">
        <v>151</v>
      </c>
      <c r="H59" s="78" t="s">
        <v>152</v>
      </c>
      <c r="I59" s="78" t="s">
        <v>129</v>
      </c>
      <c r="J59" s="78" t="s">
        <v>130</v>
      </c>
      <c r="K59" s="78" t="s">
        <v>131</v>
      </c>
      <c r="L59" s="288" t="s">
        <v>132</v>
      </c>
      <c r="M59" s="289"/>
      <c r="N59" s="290"/>
      <c r="O59" s="77" t="s">
        <v>133</v>
      </c>
      <c r="P59" s="77" t="s">
        <v>134</v>
      </c>
      <c r="Q59" s="77" t="s">
        <v>135</v>
      </c>
      <c r="R59" s="77" t="s">
        <v>136</v>
      </c>
      <c r="S59" s="77" t="s">
        <v>137</v>
      </c>
      <c r="T59" s="79" t="s">
        <v>138</v>
      </c>
    </row>
    <row r="60" spans="1:20">
      <c r="A60" s="81"/>
      <c r="B60" s="101"/>
      <c r="C60" s="102"/>
      <c r="D60" s="138" t="s">
        <v>148</v>
      </c>
      <c r="E60" s="94"/>
      <c r="F60" s="103"/>
      <c r="G60" s="123"/>
      <c r="H60" s="39" t="str">
        <f>IF(E60="","",$T$30*E60*(1+G60)/F60)</f>
        <v/>
      </c>
      <c r="I60" s="84"/>
      <c r="J60" s="85" t="str">
        <f>IF(I60="","",H60*I60)</f>
        <v/>
      </c>
      <c r="K60" s="84"/>
      <c r="L60" s="276"/>
      <c r="M60" s="276"/>
      <c r="N60" s="276"/>
      <c r="O60" s="85"/>
      <c r="P60" s="86"/>
      <c r="Q60" s="87"/>
      <c r="R60" s="87"/>
      <c r="S60" s="84"/>
      <c r="T60" s="88"/>
    </row>
    <row r="61" spans="1:20">
      <c r="A61" s="81"/>
      <c r="B61" s="101"/>
      <c r="C61" s="102"/>
      <c r="D61" s="138" t="s">
        <v>148</v>
      </c>
      <c r="E61" s="94"/>
      <c r="F61" s="103"/>
      <c r="G61" s="123"/>
      <c r="H61" s="39" t="str">
        <f t="shared" ref="H61:H68" si="18">IF(E61="","",$T$30*E61*(1+G61)/F61)</f>
        <v/>
      </c>
      <c r="I61" s="84"/>
      <c r="J61" s="85" t="str">
        <f t="shared" ref="J61:J68" si="19">IF(I61="","",H61*I61)</f>
        <v/>
      </c>
      <c r="K61" s="84"/>
      <c r="L61" s="276"/>
      <c r="M61" s="276"/>
      <c r="N61" s="276"/>
      <c r="O61" s="85"/>
      <c r="P61" s="86"/>
      <c r="Q61" s="87"/>
      <c r="R61" s="87"/>
      <c r="S61" s="84"/>
      <c r="T61" s="88"/>
    </row>
    <row r="62" spans="1:20">
      <c r="A62" s="81"/>
      <c r="B62" s="101"/>
      <c r="C62" s="102"/>
      <c r="D62" s="138" t="s">
        <v>148</v>
      </c>
      <c r="E62" s="94"/>
      <c r="F62" s="103"/>
      <c r="G62" s="123"/>
      <c r="H62" s="39" t="str">
        <f t="shared" si="18"/>
        <v/>
      </c>
      <c r="I62" s="84"/>
      <c r="J62" s="85" t="str">
        <f t="shared" si="19"/>
        <v/>
      </c>
      <c r="K62" s="84"/>
      <c r="L62" s="276"/>
      <c r="M62" s="276"/>
      <c r="N62" s="276"/>
      <c r="O62" s="85"/>
      <c r="P62" s="86"/>
      <c r="Q62" s="87"/>
      <c r="R62" s="87"/>
      <c r="S62" s="84"/>
      <c r="T62" s="88"/>
    </row>
    <row r="63" spans="1:20">
      <c r="A63" s="81"/>
      <c r="B63" s="101"/>
      <c r="C63" s="102"/>
      <c r="D63" s="138" t="s">
        <v>148</v>
      </c>
      <c r="E63" s="94"/>
      <c r="F63" s="103"/>
      <c r="G63" s="123"/>
      <c r="H63" s="39" t="str">
        <f t="shared" si="18"/>
        <v/>
      </c>
      <c r="I63" s="84"/>
      <c r="J63" s="85" t="str">
        <f t="shared" si="19"/>
        <v/>
      </c>
      <c r="K63" s="84"/>
      <c r="L63" s="276"/>
      <c r="M63" s="276"/>
      <c r="N63" s="276"/>
      <c r="O63" s="85"/>
      <c r="P63" s="86"/>
      <c r="Q63" s="87"/>
      <c r="R63" s="87"/>
      <c r="S63" s="84"/>
      <c r="T63" s="88"/>
    </row>
    <row r="64" spans="1:20">
      <c r="A64" s="81"/>
      <c r="B64" s="101"/>
      <c r="C64" s="102"/>
      <c r="D64" s="138" t="s">
        <v>148</v>
      </c>
      <c r="E64" s="94"/>
      <c r="F64" s="103"/>
      <c r="G64" s="123"/>
      <c r="H64" s="39" t="str">
        <f t="shared" si="18"/>
        <v/>
      </c>
      <c r="I64" s="84"/>
      <c r="J64" s="85" t="str">
        <f t="shared" si="19"/>
        <v/>
      </c>
      <c r="K64" s="84"/>
      <c r="L64" s="276"/>
      <c r="M64" s="276"/>
      <c r="N64" s="276"/>
      <c r="O64" s="85"/>
      <c r="P64" s="86"/>
      <c r="Q64" s="87"/>
      <c r="R64" s="87"/>
      <c r="S64" s="84"/>
      <c r="T64" s="88"/>
    </row>
    <row r="65" spans="1:21">
      <c r="A65" s="81"/>
      <c r="B65" s="101"/>
      <c r="C65" s="102"/>
      <c r="D65" s="138" t="s">
        <v>148</v>
      </c>
      <c r="E65" s="94"/>
      <c r="F65" s="103"/>
      <c r="G65" s="123"/>
      <c r="H65" s="39" t="str">
        <f t="shared" si="18"/>
        <v/>
      </c>
      <c r="I65" s="84"/>
      <c r="J65" s="85" t="str">
        <f t="shared" si="19"/>
        <v/>
      </c>
      <c r="K65" s="84"/>
      <c r="L65" s="276"/>
      <c r="M65" s="276"/>
      <c r="N65" s="276"/>
      <c r="O65" s="85"/>
      <c r="P65" s="86"/>
      <c r="Q65" s="87"/>
      <c r="R65" s="87"/>
      <c r="S65" s="84"/>
      <c r="T65" s="88"/>
    </row>
    <row r="66" spans="1:21">
      <c r="A66" s="81"/>
      <c r="B66" s="101"/>
      <c r="C66" s="102"/>
      <c r="D66" s="138" t="s">
        <v>148</v>
      </c>
      <c r="E66" s="94"/>
      <c r="F66" s="103"/>
      <c r="G66" s="123"/>
      <c r="H66" s="39" t="str">
        <f t="shared" si="18"/>
        <v/>
      </c>
      <c r="I66" s="84"/>
      <c r="J66" s="85" t="str">
        <f t="shared" si="19"/>
        <v/>
      </c>
      <c r="K66" s="84"/>
      <c r="L66" s="276"/>
      <c r="M66" s="276"/>
      <c r="N66" s="276"/>
      <c r="O66" s="85"/>
      <c r="P66" s="86"/>
      <c r="Q66" s="87"/>
      <c r="R66" s="87"/>
      <c r="S66" s="84"/>
      <c r="T66" s="88"/>
    </row>
    <row r="67" spans="1:21">
      <c r="A67" s="81"/>
      <c r="B67" s="101"/>
      <c r="C67" s="102"/>
      <c r="D67" s="138" t="s">
        <v>148</v>
      </c>
      <c r="E67" s="94"/>
      <c r="F67" s="103"/>
      <c r="G67" s="123"/>
      <c r="H67" s="39" t="str">
        <f t="shared" si="18"/>
        <v/>
      </c>
      <c r="I67" s="84"/>
      <c r="J67" s="85" t="str">
        <f t="shared" si="19"/>
        <v/>
      </c>
      <c r="K67" s="84"/>
      <c r="L67" s="276"/>
      <c r="M67" s="276"/>
      <c r="N67" s="276"/>
      <c r="O67" s="85"/>
      <c r="P67" s="86"/>
      <c r="Q67" s="87"/>
      <c r="R67" s="87"/>
      <c r="S67" s="84"/>
      <c r="T67" s="88"/>
    </row>
    <row r="68" spans="1:21" ht="14.25" thickBot="1">
      <c r="A68" s="104"/>
      <c r="B68" s="105"/>
      <c r="C68" s="106"/>
      <c r="D68" s="139" t="s">
        <v>148</v>
      </c>
      <c r="E68" s="136"/>
      <c r="F68" s="134"/>
      <c r="G68" s="135"/>
      <c r="H68" s="41" t="str">
        <f t="shared" si="18"/>
        <v/>
      </c>
      <c r="I68" s="107"/>
      <c r="J68" s="108" t="str">
        <f t="shared" si="19"/>
        <v/>
      </c>
      <c r="K68" s="107"/>
      <c r="L68" s="283"/>
      <c r="M68" s="283"/>
      <c r="N68" s="283"/>
      <c r="O68" s="108"/>
      <c r="P68" s="109"/>
      <c r="Q68" s="110"/>
      <c r="R68" s="110"/>
      <c r="S68" s="107"/>
      <c r="T68" s="111"/>
    </row>
    <row r="69" spans="1:21" ht="15.75" thickBot="1">
      <c r="A69" s="179" t="s">
        <v>297</v>
      </c>
      <c r="B69" s="180"/>
      <c r="C69" s="181"/>
      <c r="D69" s="181"/>
      <c r="E69" s="181"/>
      <c r="F69" s="176" t="s">
        <v>298</v>
      </c>
      <c r="G69" s="182"/>
      <c r="H69" s="182"/>
      <c r="I69" s="182"/>
      <c r="J69" s="182"/>
      <c r="K69" s="177" t="s">
        <v>299</v>
      </c>
      <c r="L69" s="182"/>
      <c r="M69" s="182"/>
      <c r="N69" s="182"/>
      <c r="O69" s="178" t="s">
        <v>300</v>
      </c>
      <c r="P69" s="183"/>
      <c r="Q69" s="183"/>
      <c r="R69" s="183"/>
      <c r="S69" s="183"/>
      <c r="T69" s="184"/>
      <c r="U69" s="4"/>
    </row>
  </sheetData>
  <mergeCells count="154">
    <mergeCell ref="L67:N67"/>
    <mergeCell ref="L68:N68"/>
    <mergeCell ref="E31:F31"/>
    <mergeCell ref="H31:J31"/>
    <mergeCell ref="A58:T58"/>
    <mergeCell ref="L59:N59"/>
    <mergeCell ref="L60:N60"/>
    <mergeCell ref="L61:N61"/>
    <mergeCell ref="L63:N63"/>
    <mergeCell ref="L64:N64"/>
    <mergeCell ref="L45:N45"/>
    <mergeCell ref="L46:N46"/>
    <mergeCell ref="C47:D47"/>
    <mergeCell ref="L47:N47"/>
    <mergeCell ref="L48:N48"/>
    <mergeCell ref="L49:N49"/>
    <mergeCell ref="L50:N50"/>
    <mergeCell ref="L51:N51"/>
    <mergeCell ref="L52:N52"/>
    <mergeCell ref="L36:N36"/>
    <mergeCell ref="L37:N37"/>
    <mergeCell ref="C57:D57"/>
    <mergeCell ref="C54:D54"/>
    <mergeCell ref="C55:D55"/>
    <mergeCell ref="P10:T10"/>
    <mergeCell ref="R13:S13"/>
    <mergeCell ref="Q22:R22"/>
    <mergeCell ref="I1:J1"/>
    <mergeCell ref="L65:N65"/>
    <mergeCell ref="L66:N66"/>
    <mergeCell ref="P3:T3"/>
    <mergeCell ref="P5:T5"/>
    <mergeCell ref="P4:T4"/>
    <mergeCell ref="L62:N62"/>
    <mergeCell ref="L56:N56"/>
    <mergeCell ref="L57:N57"/>
    <mergeCell ref="L41:N41"/>
    <mergeCell ref="L42:N42"/>
    <mergeCell ref="L43:N43"/>
    <mergeCell ref="L44:N44"/>
    <mergeCell ref="M6:N6"/>
    <mergeCell ref="C4:D4"/>
    <mergeCell ref="E4:F4"/>
    <mergeCell ref="G4:H4"/>
    <mergeCell ref="M4:N4"/>
    <mergeCell ref="I4:J5"/>
    <mergeCell ref="K4:L5"/>
    <mergeCell ref="S2:T2"/>
    <mergeCell ref="M2:N2"/>
    <mergeCell ref="P9:T9"/>
    <mergeCell ref="A1:B1"/>
    <mergeCell ref="F1:G1"/>
    <mergeCell ref="R12:T12"/>
    <mergeCell ref="C8:D8"/>
    <mergeCell ref="E8:F8"/>
    <mergeCell ref="D2:E2"/>
    <mergeCell ref="I8:O8"/>
    <mergeCell ref="P8:T8"/>
    <mergeCell ref="M7:N7"/>
    <mergeCell ref="P6:T6"/>
    <mergeCell ref="A7:B7"/>
    <mergeCell ref="C7:D7"/>
    <mergeCell ref="P7:T7"/>
    <mergeCell ref="A6:B6"/>
    <mergeCell ref="C6:D6"/>
    <mergeCell ref="E6:F6"/>
    <mergeCell ref="G6:H6"/>
    <mergeCell ref="A3:H3"/>
    <mergeCell ref="I3:O3"/>
    <mergeCell ref="I6:J6"/>
    <mergeCell ref="K7:L7"/>
    <mergeCell ref="A8:B8"/>
    <mergeCell ref="F2:G2"/>
    <mergeCell ref="K6:L6"/>
    <mergeCell ref="C10:D10"/>
    <mergeCell ref="E10:F10"/>
    <mergeCell ref="G10:H10"/>
    <mergeCell ref="I10:J10"/>
    <mergeCell ref="K10:L10"/>
    <mergeCell ref="M10:N10"/>
    <mergeCell ref="H2:I2"/>
    <mergeCell ref="K2:L2"/>
    <mergeCell ref="A9:B9"/>
    <mergeCell ref="C9:D9"/>
    <mergeCell ref="E9:F9"/>
    <mergeCell ref="G9:H9"/>
    <mergeCell ref="I9:J9"/>
    <mergeCell ref="K9:L9"/>
    <mergeCell ref="I7:J7"/>
    <mergeCell ref="M9:N9"/>
    <mergeCell ref="A10:B10"/>
    <mergeCell ref="G8:H8"/>
    <mergeCell ref="A5:B5"/>
    <mergeCell ref="C5:D5"/>
    <mergeCell ref="E5:F5"/>
    <mergeCell ref="G5:H5"/>
    <mergeCell ref="M5:N5"/>
    <mergeCell ref="A4:B4"/>
    <mergeCell ref="A11:B11"/>
    <mergeCell ref="C11:D11"/>
    <mergeCell ref="E11:F11"/>
    <mergeCell ref="G11:H11"/>
    <mergeCell ref="I11:J11"/>
    <mergeCell ref="K11:L11"/>
    <mergeCell ref="M11:N11"/>
    <mergeCell ref="A13:Q13"/>
    <mergeCell ref="P11:T11"/>
    <mergeCell ref="C12:D12"/>
    <mergeCell ref="E12:F12"/>
    <mergeCell ref="G12:H12"/>
    <mergeCell ref="I12:J12"/>
    <mergeCell ref="K12:L12"/>
    <mergeCell ref="M12:N12"/>
    <mergeCell ref="A12:B12"/>
    <mergeCell ref="C40:D40"/>
    <mergeCell ref="C41:D41"/>
    <mergeCell ref="C36:D36"/>
    <mergeCell ref="C37:D37"/>
    <mergeCell ref="C38:D38"/>
    <mergeCell ref="C56:D56"/>
    <mergeCell ref="C51:D51"/>
    <mergeCell ref="C52:D52"/>
    <mergeCell ref="C53:D53"/>
    <mergeCell ref="C48:D48"/>
    <mergeCell ref="C49:D49"/>
    <mergeCell ref="C45:D45"/>
    <mergeCell ref="C46:D46"/>
    <mergeCell ref="C42:D42"/>
    <mergeCell ref="C43:D43"/>
    <mergeCell ref="C44:D44"/>
    <mergeCell ref="A69:B69"/>
    <mergeCell ref="C69:E69"/>
    <mergeCell ref="G69:J69"/>
    <mergeCell ref="L69:N69"/>
    <mergeCell ref="P69:T69"/>
    <mergeCell ref="C33:D33"/>
    <mergeCell ref="C34:D34"/>
    <mergeCell ref="A21:C21"/>
    <mergeCell ref="A22:P22"/>
    <mergeCell ref="A30:C30"/>
    <mergeCell ref="L38:N38"/>
    <mergeCell ref="L39:N39"/>
    <mergeCell ref="L40:N40"/>
    <mergeCell ref="L55:N55"/>
    <mergeCell ref="C35:D35"/>
    <mergeCell ref="C32:D32"/>
    <mergeCell ref="L32:N32"/>
    <mergeCell ref="L33:N33"/>
    <mergeCell ref="L34:N34"/>
    <mergeCell ref="L35:N35"/>
    <mergeCell ref="C50:D50"/>
    <mergeCell ref="L53:N53"/>
    <mergeCell ref="L54:N54"/>
    <mergeCell ref="C39:D39"/>
  </mergeCells>
  <phoneticPr fontId="3" type="noConversion"/>
  <conditionalFormatting sqref="E69">
    <cfRule type="containsErrors" dxfId="0" priority="1">
      <formula>ISERROR(E69)</formula>
    </cfRule>
  </conditionalFormatting>
  <dataValidations count="7">
    <dataValidation type="list" allowBlank="1" showInputMessage="1" showErrorMessage="1" sqref="C11:D11">
      <formula1>"牛仔,色布,染色"</formula1>
    </dataValidation>
    <dataValidation type="list" allowBlank="1" showInputMessage="1" showErrorMessage="1" sqref="B2">
      <formula1>"常州,河南,重庆,东北,其他,,柬埔寨,坦桑尼亚,缅甸"</formula1>
    </dataValidation>
    <dataValidation type="list" allowBlank="1" showInputMessage="1" showErrorMessage="1" sqref="K9:L9">
      <formula1>"计划一部,计划二部,计划三部,计划四部,计划五部"</formula1>
    </dataValidation>
    <dataValidation type="list" allowBlank="1" showInputMessage="1" showErrorMessage="1" sqref="C8:D8">
      <formula1>工厂名和客户品牌的规范叫法!B2:B57</formula1>
    </dataValidation>
    <dataValidation type="list" allowBlank="1" showInputMessage="1" showErrorMessage="1" sqref="H7">
      <formula1>工厂名和客户品牌的规范叫法!J2:J7</formula1>
    </dataValidation>
    <dataValidation type="list" allowBlank="1" showInputMessage="1" showErrorMessage="1" sqref="K4:L5 K7:L7">
      <formula1>工厂名和客户品牌的规范叫法!A7:A57</formula1>
    </dataValidation>
    <dataValidation type="list" allowBlank="1" showInputMessage="1" showErrorMessage="1" sqref="K6:L6">
      <formula1>工厂名和客户品牌的规范叫法!A2:A5</formula1>
    </dataValidation>
  </dataValidations>
  <printOptions horizontalCentered="1" verticalCentered="1"/>
  <pageMargins left="0.25" right="0.25" top="0.75" bottom="0.75" header="0.3" footer="0.3"/>
  <pageSetup paperSize="9" scale="52" orientation="portrait" verticalDpi="300" r:id="rId1"/>
  <rowBreaks count="1" manualBreakCount="1">
    <brk id="30" max="16383" man="1"/>
  </rowBreaks>
  <colBreaks count="1" manualBreakCount="1">
    <brk id="20" max="1048575" man="1"/>
  </colBreaks>
  <ignoredErrors>
    <ignoredError sqref="D21:S21" formulaRange="1"/>
  </ignoredErrors>
  <drawing r:id="rId2"/>
  <legacyDrawing r:id="rId3"/>
  <extLst xmlns:x14="http://schemas.microsoft.com/office/spreadsheetml/2009/9/main">
    <ext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工厂名和客户品牌的规范叫法!$B$2:$B$57</xm:f>
          </x14:formula1>
          <xm:sqref>C8:D8</xm:sqref>
        </x14:dataValidation>
        <x14:dataValidation type="list" allowBlank="1" showInputMessage="1" showErrorMessage="1">
          <x14:formula1>
            <xm:f>工厂名和客户品牌的规范叫法!$A$2:$A$57</xm:f>
          </x14:formula1>
          <xm:sqref>K6:L6</xm:sqref>
        </x14:dataValidation>
        <x14:dataValidation type="list" allowBlank="1" showInputMessage="1" showErrorMessage="1">
          <x14:formula1>
            <xm:f>工厂名和客户品牌的规范叫法!$A$7:$A$57</xm:f>
          </x14:formula1>
          <xm:sqref>K4:L5</xm:sqref>
        </x14:dataValidation>
        <x14:dataValidation type="list" allowBlank="1" showInputMessage="1" showErrorMessage="1">
          <x14:formula1>
            <xm:f>工厂名和客户品牌的规范叫法!$A$7:$A$57</xm:f>
          </x14:formula1>
          <xm:sqref>K7:L7</xm:sqref>
        </x14:dataValidation>
        <x14:dataValidation type="list" allowBlank="1" showInputMessage="1" showErrorMessage="1">
          <x14:formula1>
            <xm:f>工厂名和客户品牌的规范叫法!A8:A45</xm:f>
          </x14:formula1>
          <xm:sqref>K4:L5</xm:sqref>
        </x14:dataValidation>
        <x14:dataValidation type="list" allowBlank="1" showInputMessage="1" showErrorMessage="1">
          <x14:formula1>
            <xm:f>工厂名和客户品牌的规范叫法!A2:A6</xm:f>
          </x14:formula1>
          <xm:sqref>K6:L6</xm:sqref>
        </x14:dataValidation>
        <x14:dataValidation type="list" allowBlank="1" showInputMessage="1" showErrorMessage="1">
          <x14:formula1>
            <xm:f>工厂名和客户品牌的规范叫法!A11:A21</xm:f>
          </x14:formula1>
          <xm:sqref>K7:L7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FFFF00"/>
  </sheetPr>
  <dimension ref="A1:J57"/>
  <sheetViews>
    <sheetView workbookViewId="0">
      <selection activeCell="A5" sqref="A5"/>
    </sheetView>
  </sheetViews>
  <sheetFormatPr defaultColWidth="9" defaultRowHeight="13.5"/>
  <cols>
    <col min="1" max="2" width="25.625" style="56" customWidth="1"/>
    <col min="3" max="3" width="20.75" style="56" customWidth="1"/>
    <col min="4" max="4" width="22.125" style="56" customWidth="1"/>
    <col min="5" max="5" width="22.625" style="56" customWidth="1"/>
    <col min="6" max="7" width="9" style="56"/>
    <col min="8" max="8" width="10.125" style="56" customWidth="1"/>
    <col min="9" max="9" width="9" style="56"/>
    <col min="10" max="10" width="21.25" style="56" customWidth="1"/>
    <col min="11" max="16384" width="9" style="56"/>
  </cols>
  <sheetData>
    <row r="1" spans="1:10" ht="14.25">
      <c r="A1" s="55" t="s">
        <v>53</v>
      </c>
      <c r="B1" s="55" t="s">
        <v>54</v>
      </c>
      <c r="C1" s="55" t="s">
        <v>155</v>
      </c>
      <c r="D1" s="142" t="s">
        <v>156</v>
      </c>
      <c r="E1" s="142" t="s">
        <v>173</v>
      </c>
      <c r="G1" s="148" t="s">
        <v>241</v>
      </c>
      <c r="H1" s="148" t="s">
        <v>242</v>
      </c>
      <c r="J1" s="55" t="s">
        <v>288</v>
      </c>
    </row>
    <row r="2" spans="1:10" ht="15">
      <c r="A2" s="56" t="s">
        <v>175</v>
      </c>
      <c r="B2" s="56" t="s">
        <v>74</v>
      </c>
      <c r="C2" s="56" t="s">
        <v>171</v>
      </c>
      <c r="D2" s="141" t="s">
        <v>78</v>
      </c>
      <c r="E2" s="143"/>
      <c r="G2" s="147" t="s">
        <v>189</v>
      </c>
      <c r="H2" s="147" t="s">
        <v>243</v>
      </c>
      <c r="J2" s="56" t="s">
        <v>289</v>
      </c>
    </row>
    <row r="3" spans="1:10" ht="15">
      <c r="A3" s="56" t="s">
        <v>177</v>
      </c>
      <c r="B3" s="56" t="s">
        <v>75</v>
      </c>
      <c r="C3" s="56" t="s">
        <v>159</v>
      </c>
      <c r="D3" s="141" t="s">
        <v>90</v>
      </c>
      <c r="E3" s="143"/>
      <c r="G3" s="147" t="s">
        <v>201</v>
      </c>
      <c r="H3" s="147" t="s">
        <v>244</v>
      </c>
      <c r="J3" s="56" t="s">
        <v>290</v>
      </c>
    </row>
    <row r="4" spans="1:10" ht="15">
      <c r="A4" s="56" t="s">
        <v>180</v>
      </c>
      <c r="B4" s="56" t="s">
        <v>76</v>
      </c>
      <c r="C4" s="56" t="s">
        <v>165</v>
      </c>
      <c r="D4" s="141" t="s">
        <v>157</v>
      </c>
      <c r="E4" s="143"/>
      <c r="G4" s="147" t="s">
        <v>196</v>
      </c>
      <c r="H4" s="147" t="s">
        <v>245</v>
      </c>
      <c r="J4" s="56" t="s">
        <v>291</v>
      </c>
    </row>
    <row r="5" spans="1:10" ht="15">
      <c r="A5" s="56" t="s">
        <v>183</v>
      </c>
      <c r="B5" s="56" t="s">
        <v>77</v>
      </c>
      <c r="C5" s="56" t="s">
        <v>170</v>
      </c>
      <c r="D5" s="141" t="s">
        <v>103</v>
      </c>
      <c r="E5" s="143"/>
      <c r="G5" s="147" t="s">
        <v>185</v>
      </c>
      <c r="H5" s="147" t="s">
        <v>246</v>
      </c>
      <c r="J5" s="56" t="s">
        <v>292</v>
      </c>
    </row>
    <row r="6" spans="1:10" ht="14.45" customHeight="1">
      <c r="B6" s="56" t="s">
        <v>78</v>
      </c>
      <c r="D6" s="143" t="s">
        <v>172</v>
      </c>
      <c r="E6" s="143"/>
      <c r="G6" s="147" t="s">
        <v>195</v>
      </c>
      <c r="H6" s="147" t="s">
        <v>247</v>
      </c>
      <c r="J6" s="56" t="s">
        <v>293</v>
      </c>
    </row>
    <row r="7" spans="1:10" ht="15">
      <c r="A7" s="56" t="s">
        <v>178</v>
      </c>
      <c r="B7" s="56" t="s">
        <v>79</v>
      </c>
      <c r="D7" s="141" t="s">
        <v>158</v>
      </c>
      <c r="E7" s="143"/>
      <c r="G7" s="147" t="s">
        <v>187</v>
      </c>
      <c r="H7" s="147" t="s">
        <v>248</v>
      </c>
      <c r="J7" s="56" t="s">
        <v>294</v>
      </c>
    </row>
    <row r="8" spans="1:10" ht="15">
      <c r="A8" s="56" t="s">
        <v>174</v>
      </c>
      <c r="B8" s="56" t="s">
        <v>80</v>
      </c>
      <c r="D8" s="141" t="s">
        <v>160</v>
      </c>
      <c r="E8" s="143"/>
      <c r="G8" s="147" t="s">
        <v>188</v>
      </c>
      <c r="H8" s="147" t="s">
        <v>249</v>
      </c>
    </row>
    <row r="9" spans="1:10" ht="15">
      <c r="A9" s="56" t="s">
        <v>179</v>
      </c>
      <c r="B9" s="56" t="s">
        <v>81</v>
      </c>
      <c r="D9" s="141" t="s">
        <v>161</v>
      </c>
      <c r="E9" s="143"/>
      <c r="G9" s="147" t="s">
        <v>222</v>
      </c>
      <c r="H9" s="147" t="s">
        <v>250</v>
      </c>
    </row>
    <row r="10" spans="1:10" ht="15">
      <c r="A10" s="56" t="s">
        <v>181</v>
      </c>
      <c r="B10" s="56" t="s">
        <v>82</v>
      </c>
      <c r="D10" s="141" t="s">
        <v>162</v>
      </c>
      <c r="E10" s="143"/>
      <c r="G10" s="147" t="s">
        <v>186</v>
      </c>
      <c r="H10" s="147" t="s">
        <v>251</v>
      </c>
    </row>
    <row r="11" spans="1:10" ht="15">
      <c r="A11" s="56" t="s">
        <v>176</v>
      </c>
      <c r="B11" s="56" t="s">
        <v>83</v>
      </c>
      <c r="D11" s="141" t="s">
        <v>163</v>
      </c>
      <c r="E11" s="143"/>
      <c r="G11" s="147" t="s">
        <v>223</v>
      </c>
      <c r="H11" s="147" t="s">
        <v>252</v>
      </c>
    </row>
    <row r="12" spans="1:10" ht="15">
      <c r="A12" s="56" t="s">
        <v>182</v>
      </c>
      <c r="B12" s="56" t="s">
        <v>84</v>
      </c>
      <c r="D12" s="141" t="s">
        <v>164</v>
      </c>
      <c r="E12" s="143"/>
      <c r="G12" s="147" t="s">
        <v>184</v>
      </c>
      <c r="H12" s="147" t="s">
        <v>253</v>
      </c>
    </row>
    <row r="13" spans="1:10" ht="15">
      <c r="A13" s="56" t="s">
        <v>189</v>
      </c>
      <c r="B13" s="56" t="s">
        <v>85</v>
      </c>
      <c r="D13" s="141" t="s">
        <v>81</v>
      </c>
      <c r="E13" s="143"/>
      <c r="G13" s="147" t="s">
        <v>192</v>
      </c>
      <c r="H13" s="147" t="s">
        <v>254</v>
      </c>
    </row>
    <row r="14" spans="1:10" ht="15">
      <c r="A14" s="56" t="s">
        <v>201</v>
      </c>
      <c r="B14" s="56" t="s">
        <v>86</v>
      </c>
      <c r="D14" s="141" t="s">
        <v>82</v>
      </c>
      <c r="E14" s="143"/>
      <c r="G14" s="147" t="s">
        <v>194</v>
      </c>
      <c r="H14" s="147" t="s">
        <v>255</v>
      </c>
    </row>
    <row r="15" spans="1:10" ht="15">
      <c r="A15" s="56" t="s">
        <v>196</v>
      </c>
      <c r="B15" s="56" t="s">
        <v>87</v>
      </c>
      <c r="D15" s="141" t="s">
        <v>80</v>
      </c>
      <c r="E15" s="143"/>
      <c r="G15" s="147" t="s">
        <v>205</v>
      </c>
      <c r="H15" s="147" t="s">
        <v>256</v>
      </c>
    </row>
    <row r="16" spans="1:10" ht="15">
      <c r="A16" s="56" t="s">
        <v>185</v>
      </c>
      <c r="B16" s="56" t="s">
        <v>88</v>
      </c>
      <c r="D16" s="141" t="s">
        <v>166</v>
      </c>
      <c r="E16" s="143"/>
      <c r="G16" s="147" t="s">
        <v>199</v>
      </c>
      <c r="H16" s="147" t="s">
        <v>257</v>
      </c>
    </row>
    <row r="17" spans="1:8" ht="15">
      <c r="A17" s="56" t="s">
        <v>195</v>
      </c>
      <c r="B17" s="56" t="s">
        <v>89</v>
      </c>
      <c r="D17" s="141" t="s">
        <v>167</v>
      </c>
      <c r="E17" s="143"/>
      <c r="G17" s="147" t="s">
        <v>224</v>
      </c>
      <c r="H17" s="147" t="s">
        <v>258</v>
      </c>
    </row>
    <row r="18" spans="1:8" ht="15">
      <c r="A18" s="56" t="s">
        <v>187</v>
      </c>
      <c r="B18" s="56" t="s">
        <v>90</v>
      </c>
      <c r="D18" s="141" t="s">
        <v>168</v>
      </c>
      <c r="E18" s="143"/>
      <c r="G18" s="147" t="s">
        <v>225</v>
      </c>
      <c r="H18" s="147" t="s">
        <v>259</v>
      </c>
    </row>
    <row r="19" spans="1:8" ht="15">
      <c r="A19" s="56" t="s">
        <v>188</v>
      </c>
      <c r="B19" s="56" t="s">
        <v>91</v>
      </c>
      <c r="D19" s="141" t="s">
        <v>169</v>
      </c>
      <c r="E19" s="143"/>
      <c r="G19" s="147" t="s">
        <v>226</v>
      </c>
      <c r="H19" s="147" t="s">
        <v>260</v>
      </c>
    </row>
    <row r="20" spans="1:8">
      <c r="A20" s="56" t="s">
        <v>222</v>
      </c>
      <c r="B20" s="56" t="s">
        <v>92</v>
      </c>
      <c r="G20" s="147" t="s">
        <v>198</v>
      </c>
      <c r="H20" s="147" t="s">
        <v>261</v>
      </c>
    </row>
    <row r="21" spans="1:8">
      <c r="A21" s="56" t="s">
        <v>186</v>
      </c>
      <c r="B21" s="56" t="s">
        <v>93</v>
      </c>
      <c r="G21" s="147" t="s">
        <v>227</v>
      </c>
      <c r="H21" s="147" t="s">
        <v>262</v>
      </c>
    </row>
    <row r="22" spans="1:8">
      <c r="A22" s="56" t="s">
        <v>223</v>
      </c>
      <c r="B22" s="56" t="s">
        <v>94</v>
      </c>
      <c r="G22" s="147" t="s">
        <v>228</v>
      </c>
      <c r="H22" s="147" t="s">
        <v>263</v>
      </c>
    </row>
    <row r="23" spans="1:8">
      <c r="A23" s="56" t="s">
        <v>184</v>
      </c>
      <c r="B23" s="56" t="s">
        <v>95</v>
      </c>
      <c r="G23" s="147" t="s">
        <v>229</v>
      </c>
      <c r="H23" s="147" t="s">
        <v>264</v>
      </c>
    </row>
    <row r="24" spans="1:8">
      <c r="A24" s="56" t="s">
        <v>192</v>
      </c>
      <c r="B24" s="56" t="s">
        <v>96</v>
      </c>
      <c r="G24" s="147" t="s">
        <v>204</v>
      </c>
      <c r="H24" s="147" t="s">
        <v>265</v>
      </c>
    </row>
    <row r="25" spans="1:8">
      <c r="A25" s="56" t="s">
        <v>194</v>
      </c>
      <c r="B25" s="56" t="s">
        <v>97</v>
      </c>
      <c r="G25" s="147" t="s">
        <v>230</v>
      </c>
      <c r="H25" s="147" t="s">
        <v>266</v>
      </c>
    </row>
    <row r="26" spans="1:8">
      <c r="A26" s="56" t="s">
        <v>205</v>
      </c>
      <c r="B26" s="56" t="s">
        <v>98</v>
      </c>
      <c r="G26" s="147" t="s">
        <v>231</v>
      </c>
      <c r="H26" s="147" t="s">
        <v>267</v>
      </c>
    </row>
    <row r="27" spans="1:8">
      <c r="A27" s="56" t="s">
        <v>199</v>
      </c>
      <c r="B27" s="56" t="s">
        <v>99</v>
      </c>
      <c r="G27" s="147" t="s">
        <v>232</v>
      </c>
      <c r="H27" s="147" t="s">
        <v>268</v>
      </c>
    </row>
    <row r="28" spans="1:8">
      <c r="A28" s="56" t="s">
        <v>224</v>
      </c>
      <c r="B28" s="56" t="s">
        <v>100</v>
      </c>
      <c r="G28" s="147" t="s">
        <v>233</v>
      </c>
      <c r="H28" s="147" t="s">
        <v>269</v>
      </c>
    </row>
    <row r="29" spans="1:8">
      <c r="A29" s="56" t="s">
        <v>225</v>
      </c>
      <c r="B29" s="56" t="s">
        <v>101</v>
      </c>
      <c r="G29" s="147" t="s">
        <v>234</v>
      </c>
      <c r="H29" s="147" t="s">
        <v>270</v>
      </c>
    </row>
    <row r="30" spans="1:8">
      <c r="A30" s="56" t="s">
        <v>226</v>
      </c>
      <c r="B30" s="56" t="s">
        <v>102</v>
      </c>
      <c r="G30" s="147" t="s">
        <v>235</v>
      </c>
      <c r="H30" s="147" t="s">
        <v>271</v>
      </c>
    </row>
    <row r="31" spans="1:8">
      <c r="A31" s="56" t="s">
        <v>198</v>
      </c>
      <c r="B31" s="56" t="s">
        <v>103</v>
      </c>
      <c r="G31" s="147" t="s">
        <v>236</v>
      </c>
      <c r="H31" s="147" t="s">
        <v>272</v>
      </c>
    </row>
    <row r="32" spans="1:8">
      <c r="A32" s="56" t="s">
        <v>227</v>
      </c>
      <c r="B32" s="56" t="s">
        <v>104</v>
      </c>
      <c r="G32" s="147" t="s">
        <v>191</v>
      </c>
      <c r="H32" s="147" t="s">
        <v>273</v>
      </c>
    </row>
    <row r="33" spans="1:8">
      <c r="A33" s="56" t="s">
        <v>228</v>
      </c>
      <c r="B33" s="56" t="s">
        <v>105</v>
      </c>
      <c r="G33" s="147" t="s">
        <v>197</v>
      </c>
      <c r="H33" s="147" t="s">
        <v>274</v>
      </c>
    </row>
    <row r="34" spans="1:8">
      <c r="A34" s="56" t="s">
        <v>229</v>
      </c>
      <c r="B34" s="56" t="s">
        <v>106</v>
      </c>
      <c r="G34" s="147" t="s">
        <v>193</v>
      </c>
      <c r="H34" s="147" t="s">
        <v>275</v>
      </c>
    </row>
    <row r="35" spans="1:8">
      <c r="A35" s="56" t="s">
        <v>204</v>
      </c>
      <c r="B35" s="56" t="s">
        <v>107</v>
      </c>
      <c r="G35" s="147" t="s">
        <v>237</v>
      </c>
      <c r="H35" s="147" t="s">
        <v>276</v>
      </c>
    </row>
    <row r="36" spans="1:8">
      <c r="A36" s="56" t="s">
        <v>230</v>
      </c>
      <c r="B36" s="56" t="s">
        <v>108</v>
      </c>
      <c r="G36" s="147" t="s">
        <v>238</v>
      </c>
      <c r="H36" s="147" t="s">
        <v>277</v>
      </c>
    </row>
    <row r="37" spans="1:8">
      <c r="A37" s="56" t="s">
        <v>231</v>
      </c>
      <c r="B37" s="56" t="s">
        <v>109</v>
      </c>
      <c r="G37" s="147" t="s">
        <v>202</v>
      </c>
      <c r="H37" s="147" t="s">
        <v>278</v>
      </c>
    </row>
    <row r="38" spans="1:8">
      <c r="A38" s="56" t="s">
        <v>232</v>
      </c>
      <c r="B38" s="56" t="s">
        <v>110</v>
      </c>
      <c r="G38" s="147" t="s">
        <v>239</v>
      </c>
      <c r="H38" s="147" t="s">
        <v>279</v>
      </c>
    </row>
    <row r="39" spans="1:8">
      <c r="A39" s="56" t="s">
        <v>233</v>
      </c>
      <c r="B39" s="56" t="s">
        <v>111</v>
      </c>
      <c r="G39" s="147" t="s">
        <v>200</v>
      </c>
      <c r="H39" s="147" t="s">
        <v>280</v>
      </c>
    </row>
    <row r="40" spans="1:8">
      <c r="A40" s="56" t="s">
        <v>234</v>
      </c>
      <c r="B40" s="56" t="s">
        <v>112</v>
      </c>
      <c r="G40" s="147" t="s">
        <v>203</v>
      </c>
      <c r="H40" s="147" t="s">
        <v>281</v>
      </c>
    </row>
    <row r="41" spans="1:8">
      <c r="A41" s="56" t="s">
        <v>235</v>
      </c>
      <c r="B41" s="56" t="s">
        <v>113</v>
      </c>
      <c r="G41" s="147" t="s">
        <v>190</v>
      </c>
      <c r="H41" s="147" t="s">
        <v>282</v>
      </c>
    </row>
    <row r="42" spans="1:8">
      <c r="A42" s="56" t="s">
        <v>236</v>
      </c>
      <c r="B42" s="56" t="s">
        <v>114</v>
      </c>
      <c r="G42" s="147" t="s">
        <v>206</v>
      </c>
      <c r="H42" s="147" t="s">
        <v>283</v>
      </c>
    </row>
    <row r="43" spans="1:8">
      <c r="A43" s="56" t="s">
        <v>191</v>
      </c>
      <c r="B43" s="56" t="s">
        <v>115</v>
      </c>
      <c r="G43" s="147" t="s">
        <v>207</v>
      </c>
      <c r="H43" s="147" t="s">
        <v>284</v>
      </c>
    </row>
    <row r="44" spans="1:8">
      <c r="A44" s="56" t="s">
        <v>197</v>
      </c>
      <c r="B44" s="56" t="s">
        <v>116</v>
      </c>
      <c r="G44" s="147" t="s">
        <v>208</v>
      </c>
      <c r="H44" s="147" t="s">
        <v>285</v>
      </c>
    </row>
    <row r="45" spans="1:8">
      <c r="A45" s="56" t="s">
        <v>193</v>
      </c>
      <c r="B45" s="56" t="s">
        <v>117</v>
      </c>
      <c r="G45" s="147" t="s">
        <v>240</v>
      </c>
      <c r="H45" s="147" t="s">
        <v>286</v>
      </c>
    </row>
    <row r="46" spans="1:8">
      <c r="A46" s="56" t="s">
        <v>237</v>
      </c>
      <c r="B46" s="56" t="s">
        <v>210</v>
      </c>
    </row>
    <row r="47" spans="1:8">
      <c r="A47" s="56" t="s">
        <v>238</v>
      </c>
      <c r="B47" s="56" t="s">
        <v>118</v>
      </c>
    </row>
    <row r="48" spans="1:8">
      <c r="A48" s="56" t="s">
        <v>202</v>
      </c>
      <c r="B48" s="56" t="s">
        <v>119</v>
      </c>
    </row>
    <row r="49" spans="1:2">
      <c r="A49" s="56" t="s">
        <v>239</v>
      </c>
      <c r="B49" s="56" t="s">
        <v>120</v>
      </c>
    </row>
    <row r="50" spans="1:2">
      <c r="A50" s="56" t="s">
        <v>200</v>
      </c>
      <c r="B50" s="56" t="s">
        <v>121</v>
      </c>
    </row>
    <row r="51" spans="1:2">
      <c r="A51" s="56" t="s">
        <v>203</v>
      </c>
      <c r="B51" s="56" t="s">
        <v>122</v>
      </c>
    </row>
    <row r="52" spans="1:2">
      <c r="A52" s="56" t="s">
        <v>190</v>
      </c>
      <c r="B52" s="56" t="s">
        <v>211</v>
      </c>
    </row>
    <row r="53" spans="1:2">
      <c r="A53" s="56" t="s">
        <v>206</v>
      </c>
      <c r="B53" s="56" t="s">
        <v>212</v>
      </c>
    </row>
    <row r="54" spans="1:2">
      <c r="A54" s="56" t="s">
        <v>207</v>
      </c>
      <c r="B54" s="56" t="s">
        <v>213</v>
      </c>
    </row>
    <row r="55" spans="1:2">
      <c r="A55" s="56" t="s">
        <v>208</v>
      </c>
      <c r="B55" s="56" t="s">
        <v>214</v>
      </c>
    </row>
    <row r="56" spans="1:2">
      <c r="A56" s="56" t="s">
        <v>240</v>
      </c>
      <c r="B56" s="56" t="s">
        <v>215</v>
      </c>
    </row>
    <row r="57" spans="1:2">
      <c r="A57" s="56" t="s">
        <v>295</v>
      </c>
      <c r="B57" s="56" t="s">
        <v>216</v>
      </c>
    </row>
  </sheetData>
  <sortState ref="A8:A18">
    <sortCondition ref="A8:A18"/>
  </sortState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填写过程中的注意事项</vt:lpstr>
      <vt:lpstr>生产通知单模版</vt:lpstr>
      <vt:lpstr>工厂名和客户品牌的规范叫法</vt:lpstr>
      <vt:lpstr>生产通知单模版!Print_Area</vt:lpstr>
    </vt:vector>
  </TitlesOfParts>
  <Company>WwW.YlmF.CoM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2015-01-08T08:56:14Z</cp:lastPrinted>
  <dcterms:created xsi:type="dcterms:W3CDTF">2013-07-23T01:58:08Z</dcterms:created>
  <dcterms:modified xsi:type="dcterms:W3CDTF">2015-01-08T08:56:29Z</dcterms:modified>
</cp:coreProperties>
</file>