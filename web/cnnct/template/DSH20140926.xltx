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120" yWindow="90" windowWidth="15570" windowHeight="8610" activeTab="1"/>
  </bookViews>
  <sheets>
    <sheet name="填写过程中的注意事项" sheetId="6" r:id="rId1"/>
    <sheet name="生产通知单模版" sheetId="1" r:id="rId2"/>
    <sheet name="工厂名和客户品牌的规范叫法" sheetId="5" r:id="rId3"/>
  </sheets>
  <calcPr calcId="145621"/>
</workbook>
</file>

<file path=xl/calcChain.xml><?xml version="1.0" encoding="utf-8"?>
<calcChain xmlns="http://schemas.openxmlformats.org/spreadsheetml/2006/main">
  <c r="E24" i="1" l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D24" i="1"/>
  <c r="C24" i="1"/>
  <c r="C25" i="1"/>
  <c r="C26" i="1"/>
  <c r="T24" i="1" l="1"/>
  <c r="T17" i="1"/>
  <c r="T18" i="1"/>
  <c r="T19" i="1"/>
  <c r="T20" i="1"/>
  <c r="T16" i="1"/>
  <c r="C29" i="1"/>
  <c r="B29" i="1"/>
  <c r="A29" i="1"/>
  <c r="C28" i="1"/>
  <c r="B28" i="1"/>
  <c r="A28" i="1"/>
  <c r="C27" i="1"/>
  <c r="B27" i="1"/>
  <c r="A27" i="1"/>
  <c r="B26" i="1"/>
  <c r="A26" i="1"/>
  <c r="B25" i="1"/>
  <c r="A25" i="1"/>
  <c r="B24" i="1"/>
  <c r="A24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T15" i="1"/>
  <c r="T26" i="1" l="1"/>
  <c r="T29" i="1"/>
  <c r="T28" i="1"/>
  <c r="T25" i="1"/>
  <c r="T27" i="1"/>
  <c r="I30" i="1"/>
  <c r="T21" i="1"/>
  <c r="T13" i="1" s="1"/>
  <c r="Q30" i="1"/>
  <c r="E30" i="1"/>
  <c r="M30" i="1"/>
  <c r="H30" i="1"/>
  <c r="O30" i="1"/>
  <c r="F30" i="1"/>
  <c r="D30" i="1"/>
  <c r="L30" i="1"/>
  <c r="P30" i="1"/>
  <c r="G30" i="1"/>
  <c r="S30" i="1"/>
  <c r="N30" i="1"/>
  <c r="K30" i="1"/>
  <c r="J30" i="1"/>
  <c r="R30" i="1"/>
  <c r="T30" i="1" l="1"/>
  <c r="S22" i="1" s="1"/>
  <c r="T22" i="1" s="1"/>
</calcChain>
</file>

<file path=xl/comments1.xml><?xml version="1.0" encoding="utf-8"?>
<comments xmlns="http://schemas.openxmlformats.org/spreadsheetml/2006/main">
  <authors>
    <author>admin</author>
    <author>ZHU YUNHUI</author>
  </authors>
  <commentList>
    <comment ref="D2" authorId="0">
      <text>
        <r>
          <rPr>
            <b/>
            <sz val="9"/>
            <color indexed="81"/>
            <rFont val="宋体"/>
            <charset val="134"/>
          </rPr>
          <t>admin:</t>
        </r>
        <r>
          <rPr>
            <sz val="9"/>
            <color indexed="81"/>
            <rFont val="宋体"/>
            <charset val="134"/>
          </rPr>
          <t xml:space="preserve">
全部这个颜色单元格都是日期格式，输入统一用 11-18，自动生成2013-11-18</t>
        </r>
      </text>
    </comment>
    <comment ref="G6" authorId="1">
      <text>
        <r>
          <rPr>
            <b/>
            <sz val="9"/>
            <color indexed="81"/>
            <rFont val="Tahoma"/>
            <family val="2"/>
          </rPr>
          <t>ZHU YUNHUI: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一般面料缩率都是尺码缩小的，极少数有涨出现象。这种情况，请在重要提示里说明。</t>
        </r>
      </text>
    </comment>
    <comment ref="A14" authorId="1">
      <text>
        <r>
          <rPr>
            <b/>
            <sz val="9"/>
            <color indexed="81"/>
            <rFont val="Tahoma"/>
            <family val="2"/>
          </rPr>
          <t>ZHU YUNHUI: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这里只要有信息，需要每行填写
</t>
        </r>
      </text>
    </comment>
    <comment ref="B14" authorId="1">
      <text>
        <r>
          <rPr>
            <b/>
            <sz val="9"/>
            <color indexed="81"/>
            <rFont val="Tahoma"/>
            <family val="2"/>
          </rPr>
          <t>ZHU YUNHUI: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这里只要有信息，需要每行填写
</t>
        </r>
      </text>
    </comment>
    <comment ref="C14" authorId="1">
      <text>
        <r>
          <rPr>
            <b/>
            <sz val="9"/>
            <color indexed="81"/>
            <rFont val="Tahoma"/>
            <family val="2"/>
          </rPr>
          <t>ZHU YUNHUI: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这里只要有信息，需要每行填写
</t>
        </r>
      </text>
    </comment>
    <comment ref="C23" authorId="1">
      <text>
        <r>
          <rPr>
            <b/>
            <sz val="9"/>
            <color indexed="81"/>
            <rFont val="Tahoma"/>
            <family val="2"/>
          </rPr>
          <t>ZHU YUNHUI: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这里只要有信息，需要每行填写
</t>
        </r>
      </text>
    </comment>
  </commentList>
</comments>
</file>

<file path=xl/sharedStrings.xml><?xml version="1.0" encoding="utf-8"?>
<sst xmlns="http://schemas.openxmlformats.org/spreadsheetml/2006/main" count="182" uniqueCount="167">
  <si>
    <t>区域</t>
  </si>
  <si>
    <t>制单日期</t>
  </si>
  <si>
    <t>制单员</t>
  </si>
  <si>
    <t>订单基本信息</t>
  </si>
  <si>
    <t>生产进度计划</t>
  </si>
  <si>
    <t>重要提示（可多项提示）</t>
    <phoneticPr fontId="5" type="noConversion"/>
  </si>
  <si>
    <t>通知单编号</t>
    <phoneticPr fontId="5" type="noConversion"/>
  </si>
  <si>
    <t>面料</t>
  </si>
  <si>
    <t>合同号</t>
    <phoneticPr fontId="5" type="noConversion"/>
  </si>
  <si>
    <t>水洗工厂</t>
  </si>
  <si>
    <t>分单号(批次)</t>
    <phoneticPr fontId="5" type="noConversion"/>
  </si>
  <si>
    <t>后整工厂</t>
  </si>
  <si>
    <t xml:space="preserve">订单号PO </t>
    <phoneticPr fontId="5" type="noConversion"/>
  </si>
  <si>
    <t>客户/品牌</t>
    <phoneticPr fontId="5" type="noConversion"/>
  </si>
  <si>
    <t>款号</t>
    <phoneticPr fontId="5" type="noConversion"/>
  </si>
  <si>
    <t>计划审批</t>
    <phoneticPr fontId="5" type="noConversion"/>
  </si>
  <si>
    <t>计划审批日期</t>
  </si>
  <si>
    <t>品名</t>
    <phoneticPr fontId="5" type="noConversion"/>
  </si>
  <si>
    <t>总数</t>
  </si>
  <si>
    <t>采购审批</t>
    <phoneticPr fontId="5" type="noConversion"/>
  </si>
  <si>
    <t>采购审批日期</t>
  </si>
  <si>
    <t>产品分类</t>
  </si>
  <si>
    <t>技术审批</t>
    <phoneticPr fontId="5" type="noConversion"/>
  </si>
  <si>
    <t>技术审批日期</t>
  </si>
  <si>
    <t>贸易审批</t>
    <phoneticPr fontId="5" type="noConversion"/>
  </si>
  <si>
    <t>贸易审批日期</t>
  </si>
  <si>
    <t>总数验证</t>
    <phoneticPr fontId="5" type="noConversion"/>
  </si>
  <si>
    <t>国家</t>
  </si>
  <si>
    <t>颜色</t>
  </si>
  <si>
    <t>合计</t>
    <phoneticPr fontId="5" type="noConversion"/>
  </si>
  <si>
    <t>小计</t>
    <phoneticPr fontId="5" type="noConversion"/>
  </si>
  <si>
    <t>要求开裁数量明细</t>
  </si>
  <si>
    <t>加裁比例%（验证用）</t>
  </si>
  <si>
    <t>合计</t>
    <phoneticPr fontId="5" type="noConversion"/>
  </si>
  <si>
    <t>洗水工艺</t>
    <phoneticPr fontId="5" type="noConversion"/>
  </si>
  <si>
    <t>通知日期</t>
    <phoneticPr fontId="3" type="noConversion"/>
  </si>
  <si>
    <t>尾查期</t>
    <phoneticPr fontId="3" type="noConversion"/>
  </si>
  <si>
    <t>大货洗水流程</t>
    <phoneticPr fontId="3" type="noConversion"/>
  </si>
  <si>
    <t>FOB交期</t>
  </si>
  <si>
    <t>发给工厂日期</t>
    <phoneticPr fontId="3" type="noConversion"/>
  </si>
  <si>
    <t>丝带色号</t>
    <phoneticPr fontId="3" type="noConversion"/>
  </si>
  <si>
    <t>缝制工厂</t>
    <phoneticPr fontId="3" type="noConversion"/>
  </si>
  <si>
    <t>缝制起始日期</t>
    <phoneticPr fontId="3" type="noConversion"/>
  </si>
  <si>
    <t>缝制交货日</t>
    <phoneticPr fontId="3" type="noConversion"/>
  </si>
  <si>
    <t>水洗交货日</t>
    <phoneticPr fontId="3" type="noConversion"/>
  </si>
  <si>
    <t>后整交货日</t>
    <phoneticPr fontId="3" type="noConversion"/>
  </si>
  <si>
    <t>跟单员</t>
    <phoneticPr fontId="3" type="noConversion"/>
  </si>
  <si>
    <t>出运方式</t>
    <phoneticPr fontId="3" type="noConversion"/>
  </si>
  <si>
    <t>水洗厂填写</t>
    <phoneticPr fontId="3" type="noConversion"/>
  </si>
  <si>
    <t>不可以空</t>
    <phoneticPr fontId="3" type="noConversion"/>
  </si>
  <si>
    <t xml:space="preserve">面料缩率J </t>
    <phoneticPr fontId="3" type="noConversion"/>
  </si>
  <si>
    <t xml:space="preserve">面料缩率W </t>
    <phoneticPr fontId="3" type="noConversion"/>
  </si>
  <si>
    <t>溢装</t>
    <phoneticPr fontId="5" type="noConversion"/>
  </si>
  <si>
    <t>短装</t>
    <phoneticPr fontId="5" type="noConversion"/>
  </si>
  <si>
    <t>单名不可有空格</t>
    <phoneticPr fontId="3" type="noConversion"/>
  </si>
  <si>
    <t>同前</t>
    <phoneticPr fontId="3" type="noConversion"/>
  </si>
  <si>
    <t>工厂名的规范叫法</t>
    <phoneticPr fontId="3" type="noConversion"/>
  </si>
  <si>
    <t>客户/品牌的规范叫法</t>
    <phoneticPr fontId="3" type="noConversion"/>
  </si>
  <si>
    <t>一分厂</t>
    <phoneticPr fontId="3" type="noConversion"/>
  </si>
  <si>
    <t>宝莱水洗厂</t>
    <phoneticPr fontId="3" type="noConversion"/>
  </si>
  <si>
    <t>南通</t>
    <phoneticPr fontId="3" type="noConversion"/>
  </si>
  <si>
    <t>柬埔寨</t>
    <phoneticPr fontId="3" type="noConversion"/>
  </si>
  <si>
    <t>中外发</t>
    <phoneticPr fontId="3" type="noConversion"/>
  </si>
  <si>
    <t>序号</t>
    <phoneticPr fontId="23" type="noConversion"/>
  </si>
  <si>
    <t>具有唯一性的必填项例如通知单编号、订单号PO</t>
    <phoneticPr fontId="23" type="noConversion"/>
  </si>
  <si>
    <t>生产通知单编号的填写注意事项，格式为数值，不需要在编号前加0</t>
    <phoneticPr fontId="23" type="noConversion"/>
  </si>
  <si>
    <t>单元格的合并问题，如果订单数量中国家、颜色一致，需每个单元格复制填写，切勿合并，重要通知处也不需合并单元格</t>
    <phoneticPr fontId="3" type="noConversion"/>
  </si>
  <si>
    <t>国家、颜色在每个内长前需填写完整</t>
    <phoneticPr fontId="23" type="noConversion"/>
  </si>
  <si>
    <t>上传前需验证总数、加裁和订单数量明细中的的数值对比，±误差不超过1%</t>
    <phoneticPr fontId="3" type="noConversion"/>
  </si>
  <si>
    <t>订单数量数量明细     （宽度是根据我们客户尺码最多的设计的）</t>
    <phoneticPr fontId="3" type="noConversion"/>
  </si>
  <si>
    <t>如果不想让某些人看某些内容，操作方法：用与底色一样的颜色作为字体颜色。并另存为PDF格式文件，向对方提供PDF文件。</t>
  </si>
  <si>
    <r>
      <rPr>
        <b/>
        <sz val="14"/>
        <rFont val="华文细黑"/>
        <family val="3"/>
        <charset val="134"/>
      </rPr>
      <t>前道辅料</t>
    </r>
    <phoneticPr fontId="5" type="noConversion"/>
  </si>
  <si>
    <r>
      <rPr>
        <b/>
        <sz val="14"/>
        <rFont val="华文细黑"/>
        <family val="3"/>
        <charset val="134"/>
      </rPr>
      <t>后道辅料</t>
    </r>
    <phoneticPr fontId="5" type="noConversion"/>
  </si>
  <si>
    <r>
      <rPr>
        <sz val="11"/>
        <rFont val="华文细黑"/>
        <family val="3"/>
        <charset val="134"/>
      </rPr>
      <t>名称</t>
    </r>
    <phoneticPr fontId="5" type="noConversion"/>
  </si>
  <si>
    <r>
      <rPr>
        <sz val="10"/>
        <rFont val="华文细黑"/>
        <family val="3"/>
        <charset val="134"/>
      </rPr>
      <t>规格</t>
    </r>
    <phoneticPr fontId="5" type="noConversion"/>
  </si>
  <si>
    <r>
      <rPr>
        <sz val="10"/>
        <rFont val="华文细黑"/>
        <family val="3"/>
        <charset val="134"/>
      </rPr>
      <t>色号</t>
    </r>
    <phoneticPr fontId="5" type="noConversion"/>
  </si>
  <si>
    <r>
      <rPr>
        <sz val="10"/>
        <rFont val="华文细黑"/>
        <family val="3"/>
        <charset val="134"/>
      </rPr>
      <t>单耗</t>
    </r>
    <phoneticPr fontId="5" type="noConversion"/>
  </si>
  <si>
    <r>
      <rPr>
        <sz val="10"/>
        <rFont val="华文细黑"/>
        <family val="3"/>
        <charset val="134"/>
      </rPr>
      <t>数量</t>
    </r>
    <phoneticPr fontId="5" type="noConversion"/>
  </si>
  <si>
    <t>门幅/单位</t>
    <phoneticPr fontId="5" type="noConversion"/>
  </si>
  <si>
    <t>单位</t>
    <phoneticPr fontId="5" type="noConversion"/>
  </si>
  <si>
    <r>
      <rPr>
        <sz val="10"/>
        <rFont val="华文细黑"/>
        <family val="3"/>
        <charset val="134"/>
      </rPr>
      <t>名称</t>
    </r>
    <phoneticPr fontId="5" type="noConversion"/>
  </si>
  <si>
    <r>
      <rPr>
        <sz val="10"/>
        <color indexed="8"/>
        <rFont val="华文细黑"/>
        <family val="3"/>
        <charset val="134"/>
      </rPr>
      <t>规格</t>
    </r>
    <phoneticPr fontId="5" type="noConversion"/>
  </si>
  <si>
    <r>
      <rPr>
        <sz val="10"/>
        <rFont val="华文细黑"/>
        <family val="3"/>
        <charset val="134"/>
      </rPr>
      <t>备注</t>
    </r>
    <phoneticPr fontId="5" type="noConversion"/>
  </si>
  <si>
    <r>
      <rPr>
        <sz val="9"/>
        <rFont val="华文细黑"/>
        <family val="3"/>
        <charset val="134"/>
      </rPr>
      <t>订单数</t>
    </r>
    <phoneticPr fontId="5" type="noConversion"/>
  </si>
  <si>
    <r>
      <t>M/</t>
    </r>
    <r>
      <rPr>
        <sz val="10"/>
        <rFont val="华文细黑"/>
        <family val="3"/>
        <charset val="134"/>
      </rPr>
      <t>支</t>
    </r>
    <phoneticPr fontId="5" type="noConversion"/>
  </si>
  <si>
    <r>
      <rPr>
        <sz val="10"/>
        <rFont val="华文细黑"/>
        <family val="3"/>
        <charset val="134"/>
      </rPr>
      <t>供应商</t>
    </r>
    <phoneticPr fontId="5" type="noConversion"/>
  </si>
  <si>
    <t>业务员：</t>
    <phoneticPr fontId="5" type="noConversion"/>
  </si>
  <si>
    <r>
      <rPr>
        <sz val="11"/>
        <color indexed="8"/>
        <rFont val="宋体"/>
        <family val="3"/>
        <charset val="134"/>
      </rPr>
      <t>电话</t>
    </r>
    <r>
      <rPr>
        <sz val="11"/>
        <color indexed="8"/>
        <rFont val="Arial"/>
        <family val="2"/>
      </rPr>
      <t>:</t>
    </r>
    <phoneticPr fontId="5" type="noConversion"/>
  </si>
  <si>
    <r>
      <t>审批：</t>
    </r>
    <r>
      <rPr>
        <sz val="12"/>
        <rFont val="Arial"/>
        <family val="2"/>
      </rPr>
      <t xml:space="preserve"> </t>
    </r>
  </si>
  <si>
    <r>
      <t>日期：</t>
    </r>
    <r>
      <rPr>
        <sz val="12"/>
        <rFont val="Arial"/>
        <family val="2"/>
      </rPr>
      <t/>
    </r>
    <phoneticPr fontId="5" type="noConversion"/>
  </si>
  <si>
    <t>备注</t>
    <phoneticPr fontId="3" type="noConversion"/>
  </si>
  <si>
    <t>缝纫线</t>
    <phoneticPr fontId="5" type="noConversion"/>
  </si>
  <si>
    <t>物料清单</t>
    <phoneticPr fontId="3" type="noConversion"/>
  </si>
  <si>
    <t>技术科</t>
    <phoneticPr fontId="3" type="noConversion"/>
  </si>
  <si>
    <r>
      <t>标准格式的生产通知单是一个EXCEL表格，</t>
    </r>
    <r>
      <rPr>
        <b/>
        <sz val="11"/>
        <color rgb="FFFF0000"/>
        <rFont val="宋体"/>
        <family val="3"/>
        <charset val="134"/>
        <scheme val="minor"/>
      </rPr>
      <t>要求其后缀.xlsx格式的文件！ 即2007版的EXCEL文件格式，请务必按这种格式保存文件。</t>
    </r>
    <phoneticPr fontId="23" type="noConversion"/>
  </si>
  <si>
    <t>一个EXCEL文件可以填写多个生产通知单表格,但是目前每次导入只能导入工作表标签第一位的这张表格，需要做多次导入，我们在9月15日前会增加一次性导入多个生产通知单的功能。</t>
    <phoneticPr fontId="23" type="noConversion"/>
  </si>
  <si>
    <t>生产通知单的必填项目，例如区域、FOB交期、尾查期、跟单员、通知单编号、订单号PO、客户/品牌、加裁比例、总数、缝制工厂、尺寸和具体数量。</t>
    <phoneticPr fontId="23" type="noConversion"/>
  </si>
  <si>
    <t>工厂、客户/品牌的填写规范，见“工厂名和客户品牌的规范叫法”</t>
    <phoneticPr fontId="23" type="noConversion"/>
  </si>
  <si>
    <t>保存的文件名请统一为： TZD/年月/款号 。 其代表意义为“通知单+四位数年月+款号”。
例如：TZD-1407-12345-0001,意义为：通知单-14年7月-12345-0001款。</t>
    <phoneticPr fontId="3" type="noConversion"/>
  </si>
  <si>
    <t>注意事项</t>
    <phoneticPr fontId="23" type="noConversion"/>
  </si>
  <si>
    <t>请务必不要对“JDU 标准格式 生产通知单模板”做任何改动，如需修改必须通过系统管理员统一修改</t>
    <phoneticPr fontId="3" type="noConversion"/>
  </si>
  <si>
    <t>新增客户/品牌或工厂，需报备系统管理员</t>
    <phoneticPr fontId="23" type="noConversion"/>
  </si>
  <si>
    <t>梦尔罗</t>
    <phoneticPr fontId="3" type="noConversion"/>
  </si>
  <si>
    <t>河南水洗厂</t>
    <phoneticPr fontId="3" type="noConversion"/>
  </si>
  <si>
    <t>新金燕</t>
    <phoneticPr fontId="3" type="noConversion"/>
  </si>
  <si>
    <t>请务必注意“JDU 标准格式 生产通知单模板”中的批注。（单元格右上方有红色三角）。</t>
    <phoneticPr fontId="3" type="noConversion"/>
  </si>
  <si>
    <t>JDU 标准格式 生产计划通知单</t>
    <phoneticPr fontId="3" type="noConversion"/>
  </si>
  <si>
    <t>天卓水洗厂</t>
    <phoneticPr fontId="3" type="noConversion"/>
  </si>
  <si>
    <t>打开标准格式的“生产通知单模板”</t>
    <phoneticPr fontId="3" type="noConversion"/>
  </si>
  <si>
    <t>点击</t>
    <phoneticPr fontId="3" type="noConversion"/>
  </si>
  <si>
    <t>Sela</t>
  </si>
  <si>
    <t>KIABI</t>
  </si>
  <si>
    <t>JOE</t>
  </si>
  <si>
    <t>AEO</t>
  </si>
  <si>
    <t>Dockers</t>
  </si>
  <si>
    <t>F21</t>
  </si>
  <si>
    <t>GAP KIDS</t>
  </si>
  <si>
    <t>GAP ON</t>
  </si>
  <si>
    <t>GAP OUTLET</t>
  </si>
  <si>
    <t>GIFTEX</t>
  </si>
  <si>
    <t>GYM</t>
  </si>
  <si>
    <t>Haddad</t>
  </si>
  <si>
    <t>JCP</t>
  </si>
  <si>
    <t>JNCO</t>
  </si>
  <si>
    <t>KK</t>
  </si>
  <si>
    <t>LANDS' END</t>
  </si>
  <si>
    <t>Levis</t>
  </si>
  <si>
    <t>LEVIS RT</t>
  </si>
  <si>
    <t>PEI/KIK</t>
  </si>
  <si>
    <t>TCP</t>
  </si>
  <si>
    <t>GU</t>
  </si>
  <si>
    <t>丰岛</t>
  </si>
  <si>
    <t>优衣库</t>
  </si>
  <si>
    <t>H&amp;M</t>
  </si>
  <si>
    <t>HM家纺组</t>
  </si>
  <si>
    <t>ZARA</t>
  </si>
  <si>
    <t>M&amp;S</t>
  </si>
  <si>
    <t>NEXT</t>
  </si>
  <si>
    <t>TESCO</t>
  </si>
  <si>
    <t>美邦</t>
  </si>
  <si>
    <t>LEVIS OUTLET</t>
  </si>
  <si>
    <t>秋水伊人</t>
  </si>
  <si>
    <t>巴拉巴拉童装</t>
  </si>
  <si>
    <t>卓诗尼</t>
  </si>
  <si>
    <t>以纯</t>
  </si>
  <si>
    <t>冠美</t>
  </si>
  <si>
    <t>G-STAR</t>
  </si>
  <si>
    <t>ORSAY</t>
  </si>
  <si>
    <t>8 SECONDS</t>
  </si>
  <si>
    <t>凡客诚品</t>
  </si>
  <si>
    <t>斐乐</t>
  </si>
  <si>
    <t>CCDD</t>
  </si>
  <si>
    <t>GAP BRFS</t>
  </si>
  <si>
    <t>REITMANS</t>
  </si>
  <si>
    <t>C&amp;A</t>
  </si>
  <si>
    <t>QVC</t>
  </si>
  <si>
    <t>PERRY ELLIS</t>
  </si>
  <si>
    <t>COSTCO</t>
  </si>
  <si>
    <t>TALLY WEIJL</t>
  </si>
  <si>
    <t>美达</t>
    <phoneticPr fontId="3" type="noConversion"/>
  </si>
  <si>
    <t>迪丽斯</t>
    <phoneticPr fontId="3" type="noConversion"/>
  </si>
  <si>
    <t>妹尾</t>
    <phoneticPr fontId="3" type="noConversion"/>
  </si>
  <si>
    <t>审核记录</t>
    <phoneticPr fontId="3" type="noConversion"/>
  </si>
  <si>
    <t>加裁比例%</t>
    <phoneticPr fontId="3" type="noConversion"/>
  </si>
  <si>
    <t>许可损耗%</t>
    <phoneticPr fontId="3" type="noConversion"/>
  </si>
  <si>
    <t>重庆水洗</t>
    <phoneticPr fontId="3" type="noConversion"/>
  </si>
  <si>
    <t>内长  尺码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</si>
</sst>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;@"/>
    <numFmt numFmtId="177" formatCode="0_ "/>
    <numFmt numFmtId="178" formatCode="0.0%"/>
  </numFmts>
  <fonts count="46" x14ac:knownFonts="1"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b/>
      <sz val="22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i/>
      <sz val="12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2"/>
      <color rgb="FFFF0000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i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i/>
      <sz val="12"/>
      <color theme="1"/>
      <name val="宋体"/>
      <family val="3"/>
      <charset val="134"/>
      <scheme val="minor"/>
    </font>
    <font>
      <b/>
      <sz val="12"/>
      <color indexed="8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4"/>
      <name val="Arial"/>
      <family val="2"/>
    </font>
    <font>
      <b/>
      <sz val="14"/>
      <name val="华文细黑"/>
      <family val="3"/>
      <charset val="134"/>
    </font>
    <font>
      <sz val="11"/>
      <name val="Arial"/>
      <family val="2"/>
    </font>
    <font>
      <sz val="11"/>
      <name val="华文细黑"/>
      <family val="3"/>
      <charset val="134"/>
    </font>
    <font>
      <sz val="10"/>
      <name val="Arial"/>
      <family val="2"/>
    </font>
    <font>
      <sz val="10"/>
      <name val="华文细黑"/>
      <family val="3"/>
      <charset val="134"/>
    </font>
    <font>
      <sz val="11"/>
      <color theme="1"/>
      <name val="华文细黑"/>
      <family val="3"/>
      <charset val="134"/>
    </font>
    <font>
      <sz val="10"/>
      <name val="宋体"/>
      <family val="3"/>
      <charset val="134"/>
    </font>
    <font>
      <b/>
      <sz val="11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华文细黑"/>
      <family val="3"/>
      <charset val="134"/>
    </font>
    <font>
      <sz val="9"/>
      <name val="Arial"/>
      <family val="2"/>
    </font>
    <font>
      <sz val="9"/>
      <name val="华文细黑"/>
      <family val="3"/>
      <charset val="134"/>
    </font>
    <font>
      <sz val="12"/>
      <name val="Arial"/>
      <family val="2"/>
    </font>
    <font>
      <b/>
      <sz val="9"/>
      <color indexed="81"/>
      <name val="宋体"/>
      <charset val="134"/>
    </font>
    <font>
      <sz val="9"/>
      <color indexed="81"/>
      <name val="宋体"/>
      <charset val="134"/>
    </font>
    <font>
      <u/>
      <sz val="11"/>
      <color theme="10"/>
      <name val="宋体"/>
      <family val="3"/>
      <charset val="134"/>
    </font>
    <font>
      <b/>
      <u/>
      <sz val="18"/>
      <color theme="10"/>
      <name val="宋体"/>
      <family val="3"/>
      <charset val="134"/>
    </font>
    <font>
      <b/>
      <u/>
      <sz val="11"/>
      <color theme="10"/>
      <name val="宋体"/>
      <family val="3"/>
      <charset val="134"/>
    </font>
    <font>
      <b/>
      <sz val="20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</borders>
  <cellStyleXfs count="4">
    <xf numFmtId="0" fontId="0" fillId="0" borderId="0">
      <alignment vertical="center"/>
    </xf>
    <xf numFmtId="0" fontId="1" fillId="0" borderId="0"/>
    <xf numFmtId="0" fontId="8" fillId="0" borderId="0">
      <alignment vertical="center"/>
    </xf>
    <xf numFmtId="0" fontId="42" fillId="0" borderId="0" applyNumberFormat="0" applyFill="0" applyBorder="0" applyAlignment="0" applyProtection="0">
      <alignment vertical="top"/>
      <protection locked="0"/>
    </xf>
  </cellStyleXfs>
  <cellXfs count="281">
    <xf numFmtId="0" fontId="0" fillId="0" borderId="0" xfId="0">
      <alignment vertical="center"/>
    </xf>
    <xf numFmtId="0" fontId="0" fillId="0" borderId="0" xfId="0" applyFill="1" applyBorder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left" vertical="center" shrinkToFit="1"/>
    </xf>
    <xf numFmtId="176" fontId="0" fillId="0" borderId="0" xfId="0" applyNumberFormat="1" applyFill="1" applyBorder="1" applyProtection="1">
      <alignment vertical="center"/>
    </xf>
    <xf numFmtId="0" fontId="6" fillId="0" borderId="0" xfId="0" applyFont="1" applyFill="1" applyBorder="1" applyProtection="1">
      <alignment vertical="center"/>
    </xf>
    <xf numFmtId="0" fontId="10" fillId="0" borderId="6" xfId="1" applyFont="1" applyFill="1" applyBorder="1" applyAlignment="1" applyProtection="1">
      <alignment horizontal="center" vertical="center" shrinkToFit="1"/>
    </xf>
    <xf numFmtId="0" fontId="4" fillId="0" borderId="4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13" fillId="0" borderId="0" xfId="0" applyFont="1" applyFill="1" applyBorder="1" applyProtection="1">
      <alignment vertical="center"/>
    </xf>
    <xf numFmtId="0" fontId="8" fillId="2" borderId="12" xfId="1" applyFont="1" applyFill="1" applyBorder="1" applyAlignment="1" applyProtection="1">
      <alignment vertical="center"/>
      <protection locked="0"/>
    </xf>
    <xf numFmtId="0" fontId="8" fillId="2" borderId="11" xfId="2" applyFont="1" applyFill="1" applyBorder="1" applyAlignment="1" applyProtection="1">
      <alignment horizontal="center" vertical="center"/>
      <protection locked="0"/>
    </xf>
    <xf numFmtId="0" fontId="14" fillId="2" borderId="30" xfId="1" applyFont="1" applyFill="1" applyBorder="1" applyAlignment="1" applyProtection="1">
      <alignment vertical="center"/>
      <protection locked="0"/>
    </xf>
    <xf numFmtId="0" fontId="8" fillId="2" borderId="13" xfId="1" applyFont="1" applyFill="1" applyBorder="1" applyAlignment="1" applyProtection="1">
      <alignment vertical="center"/>
      <protection locked="0"/>
    </xf>
    <xf numFmtId="0" fontId="8" fillId="2" borderId="14" xfId="2" applyFont="1" applyFill="1" applyBorder="1" applyAlignment="1" applyProtection="1">
      <alignment horizontal="center" vertical="center"/>
      <protection locked="0"/>
    </xf>
    <xf numFmtId="177" fontId="1" fillId="2" borderId="14" xfId="1" applyNumberFormat="1" applyFill="1" applyBorder="1" applyAlignment="1" applyProtection="1">
      <alignment horizontal="center" vertical="center"/>
      <protection locked="0"/>
    </xf>
    <xf numFmtId="0" fontId="14" fillId="2" borderId="17" xfId="1" applyFont="1" applyFill="1" applyBorder="1" applyAlignment="1" applyProtection="1">
      <alignment vertical="center"/>
      <protection locked="0"/>
    </xf>
    <xf numFmtId="0" fontId="14" fillId="2" borderId="20" xfId="1" applyFont="1" applyFill="1" applyBorder="1" applyAlignment="1" applyProtection="1">
      <alignment vertical="center"/>
      <protection locked="0"/>
    </xf>
    <xf numFmtId="0" fontId="8" fillId="2" borderId="18" xfId="2" applyFont="1" applyFill="1" applyBorder="1" applyAlignment="1" applyProtection="1">
      <alignment horizontal="center" vertical="center"/>
      <protection locked="0"/>
    </xf>
    <xf numFmtId="0" fontId="14" fillId="2" borderId="31" xfId="1" applyFont="1" applyFill="1" applyBorder="1" applyAlignment="1" applyProtection="1">
      <alignment vertical="center"/>
      <protection locked="0"/>
    </xf>
    <xf numFmtId="177" fontId="12" fillId="0" borderId="29" xfId="1" applyNumberFormat="1" applyFont="1" applyFill="1" applyBorder="1" applyAlignment="1" applyProtection="1">
      <alignment horizontal="center" vertical="center"/>
    </xf>
    <xf numFmtId="0" fontId="1" fillId="0" borderId="7" xfId="1" applyFill="1" applyBorder="1" applyAlignment="1" applyProtection="1">
      <alignment vertical="center"/>
    </xf>
    <xf numFmtId="0" fontId="1" fillId="0" borderId="8" xfId="1" applyFill="1" applyBorder="1" applyAlignment="1" applyProtection="1">
      <alignment vertical="center"/>
    </xf>
    <xf numFmtId="0" fontId="1" fillId="0" borderId="13" xfId="1" applyFill="1" applyBorder="1" applyAlignment="1" applyProtection="1">
      <alignment vertical="center"/>
    </xf>
    <xf numFmtId="0" fontId="1" fillId="0" borderId="14" xfId="1" applyFill="1" applyBorder="1" applyAlignment="1" applyProtection="1">
      <alignment vertical="center"/>
    </xf>
    <xf numFmtId="0" fontId="15" fillId="0" borderId="0" xfId="0" applyFont="1" applyFill="1" applyBorder="1" applyProtection="1">
      <alignment vertical="center"/>
    </xf>
    <xf numFmtId="177" fontId="1" fillId="2" borderId="13" xfId="1" applyNumberForma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vertical="center" shrinkToFit="1"/>
    </xf>
    <xf numFmtId="0" fontId="21" fillId="0" borderId="42" xfId="0" applyFont="1" applyBorder="1">
      <alignment vertical="center"/>
    </xf>
    <xf numFmtId="0" fontId="4" fillId="0" borderId="2" xfId="1" applyFont="1" applyFill="1" applyBorder="1" applyAlignment="1" applyProtection="1">
      <alignment horizontal="center" vertical="center"/>
    </xf>
    <xf numFmtId="0" fontId="4" fillId="0" borderId="3" xfId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177" fontId="4" fillId="0" borderId="33" xfId="1" applyNumberFormat="1" applyFont="1" applyFill="1" applyBorder="1" applyAlignment="1" applyProtection="1">
      <alignment horizontal="center" vertical="center"/>
    </xf>
    <xf numFmtId="178" fontId="10" fillId="0" borderId="47" xfId="1" applyNumberFormat="1" applyFont="1" applyFill="1" applyBorder="1" applyAlignment="1" applyProtection="1">
      <alignment horizontal="center" vertical="center" shrinkToFit="1"/>
    </xf>
    <xf numFmtId="0" fontId="1" fillId="0" borderId="20" xfId="1" applyFill="1" applyBorder="1" applyAlignment="1" applyProtection="1">
      <alignment vertical="center"/>
    </xf>
    <xf numFmtId="0" fontId="1" fillId="0" borderId="18" xfId="1" applyFill="1" applyBorder="1" applyAlignment="1" applyProtection="1">
      <alignment vertical="center"/>
    </xf>
    <xf numFmtId="177" fontId="4" fillId="0" borderId="51" xfId="1" applyNumberFormat="1" applyFont="1" applyFill="1" applyBorder="1" applyAlignment="1" applyProtection="1">
      <alignment horizontal="center" vertical="center"/>
    </xf>
    <xf numFmtId="177" fontId="4" fillId="0" borderId="42" xfId="1" applyNumberFormat="1" applyFont="1" applyFill="1" applyBorder="1" applyAlignment="1" applyProtection="1">
      <alignment horizontal="center" vertical="center"/>
    </xf>
    <xf numFmtId="177" fontId="4" fillId="0" borderId="39" xfId="1" applyNumberFormat="1" applyFont="1" applyFill="1" applyBorder="1" applyAlignment="1" applyProtection="1">
      <alignment horizontal="center" vertical="center"/>
    </xf>
    <xf numFmtId="0" fontId="12" fillId="0" borderId="42" xfId="1" applyFont="1" applyFill="1" applyBorder="1" applyAlignment="1" applyProtection="1">
      <alignment horizontal="center" vertical="center"/>
    </xf>
    <xf numFmtId="177" fontId="0" fillId="0" borderId="8" xfId="0" applyNumberFormat="1" applyFill="1" applyBorder="1" applyAlignment="1" applyProtection="1">
      <alignment horizontal="center" vertical="center"/>
    </xf>
    <xf numFmtId="177" fontId="0" fillId="0" borderId="9" xfId="0" applyNumberFormat="1" applyFill="1" applyBorder="1" applyAlignment="1" applyProtection="1">
      <alignment horizontal="center" vertical="center"/>
    </xf>
    <xf numFmtId="177" fontId="0" fillId="0" borderId="14" xfId="0" applyNumberFormat="1" applyFill="1" applyBorder="1" applyAlignment="1" applyProtection="1">
      <alignment horizontal="center" vertical="center"/>
    </xf>
    <xf numFmtId="177" fontId="0" fillId="0" borderId="15" xfId="0" applyNumberFormat="1" applyFill="1" applyBorder="1" applyAlignment="1" applyProtection="1">
      <alignment horizontal="center" vertical="center"/>
    </xf>
    <xf numFmtId="177" fontId="0" fillId="0" borderId="22" xfId="0" applyNumberFormat="1" applyFill="1" applyBorder="1" applyAlignment="1" applyProtection="1">
      <alignment horizontal="center" vertical="center"/>
    </xf>
    <xf numFmtId="177" fontId="0" fillId="0" borderId="23" xfId="0" applyNumberFormat="1" applyFill="1" applyBorder="1" applyAlignment="1" applyProtection="1">
      <alignment horizontal="center" vertical="center"/>
    </xf>
    <xf numFmtId="177" fontId="4" fillId="0" borderId="34" xfId="1" applyNumberFormat="1" applyFont="1" applyFill="1" applyBorder="1" applyAlignment="1" applyProtection="1">
      <alignment horizontal="center" vertical="center"/>
    </xf>
    <xf numFmtId="177" fontId="4" fillId="0" borderId="52" xfId="1" applyNumberFormat="1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left" vertical="center"/>
      <protection locked="0"/>
    </xf>
    <xf numFmtId="0" fontId="9" fillId="0" borderId="4" xfId="2" applyFont="1" applyFill="1" applyBorder="1" applyAlignment="1" applyProtection="1">
      <alignment vertical="center"/>
      <protection locked="0"/>
    </xf>
    <xf numFmtId="0" fontId="9" fillId="0" borderId="5" xfId="2" applyFont="1" applyFill="1" applyBorder="1" applyAlignment="1" applyProtection="1">
      <alignment vertical="center"/>
      <protection locked="0"/>
    </xf>
    <xf numFmtId="176" fontId="6" fillId="6" borderId="9" xfId="0" applyNumberFormat="1" applyFont="1" applyFill="1" applyBorder="1" applyProtection="1">
      <alignment vertical="center"/>
      <protection locked="0"/>
    </xf>
    <xf numFmtId="176" fontId="6" fillId="6" borderId="15" xfId="0" applyNumberFormat="1" applyFont="1" applyFill="1" applyBorder="1" applyProtection="1">
      <alignment vertical="center"/>
      <protection locked="0"/>
    </xf>
    <xf numFmtId="176" fontId="6" fillId="6" borderId="30" xfId="0" applyNumberFormat="1" applyFont="1" applyFill="1" applyBorder="1" applyProtection="1">
      <alignment vertical="center"/>
      <protection locked="0"/>
    </xf>
    <xf numFmtId="176" fontId="6" fillId="6" borderId="17" xfId="0" applyNumberFormat="1" applyFont="1" applyFill="1" applyBorder="1" applyProtection="1">
      <alignment vertical="center"/>
      <protection locked="0"/>
    </xf>
    <xf numFmtId="176" fontId="6" fillId="6" borderId="37" xfId="0" applyNumberFormat="1" applyFont="1" applyFill="1" applyBorder="1" applyProtection="1">
      <alignment vertical="center"/>
      <protection locked="0"/>
    </xf>
    <xf numFmtId="0" fontId="22" fillId="5" borderId="0" xfId="0" applyFont="1" applyFill="1" applyBorder="1" applyProtection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left" wrapText="1"/>
    </xf>
    <xf numFmtId="0" fontId="4" fillId="0" borderId="4" xfId="1" applyFont="1" applyFill="1" applyBorder="1" applyAlignment="1" applyProtection="1">
      <alignment horizontal="center" vertical="center"/>
    </xf>
    <xf numFmtId="0" fontId="4" fillId="0" borderId="5" xfId="1" applyFont="1" applyFill="1" applyBorder="1" applyAlignment="1" applyProtection="1">
      <alignment horizontal="center" vertical="center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/>
    </xf>
    <xf numFmtId="0" fontId="34" fillId="3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vertical="center"/>
    </xf>
    <xf numFmtId="0" fontId="32" fillId="0" borderId="11" xfId="0" applyFont="1" applyFill="1" applyBorder="1" applyAlignment="1">
      <alignment vertical="center" wrapText="1"/>
    </xf>
    <xf numFmtId="177" fontId="33" fillId="0" borderId="11" xfId="0" applyNumberFormat="1" applyFont="1" applyFill="1" applyBorder="1" applyAlignment="1">
      <alignment vertical="center" shrinkToFit="1"/>
    </xf>
    <xf numFmtId="0" fontId="26" fillId="0" borderId="11" xfId="0" applyFont="1" applyFill="1" applyBorder="1" applyAlignment="1">
      <alignment vertical="center" shrinkToFit="1"/>
    </xf>
    <xf numFmtId="177" fontId="26" fillId="0" borderId="11" xfId="0" applyNumberFormat="1" applyFont="1" applyFill="1" applyBorder="1" applyAlignment="1">
      <alignment vertical="center" shrinkToFit="1"/>
    </xf>
    <xf numFmtId="0" fontId="32" fillId="0" borderId="14" xfId="0" applyFont="1" applyFill="1" applyBorder="1" applyAlignment="1">
      <alignment vertical="center" wrapText="1"/>
    </xf>
    <xf numFmtId="177" fontId="33" fillId="0" borderId="14" xfId="0" applyNumberFormat="1" applyFont="1" applyFill="1" applyBorder="1" applyAlignment="1">
      <alignment vertical="center" shrinkToFit="1"/>
    </xf>
    <xf numFmtId="0" fontId="26" fillId="0" borderId="14" xfId="0" applyFont="1" applyFill="1" applyBorder="1" applyAlignment="1">
      <alignment vertical="center" shrinkToFit="1"/>
    </xf>
    <xf numFmtId="177" fontId="26" fillId="0" borderId="14" xfId="0" applyNumberFormat="1" applyFont="1" applyFill="1" applyBorder="1" applyAlignment="1">
      <alignment vertical="center" shrinkToFit="1"/>
    </xf>
    <xf numFmtId="0" fontId="26" fillId="0" borderId="14" xfId="0" applyNumberFormat="1" applyFont="1" applyFill="1" applyBorder="1" applyAlignment="1">
      <alignment vertical="center"/>
    </xf>
    <xf numFmtId="0" fontId="28" fillId="0" borderId="14" xfId="0" applyFont="1" applyFill="1" applyBorder="1" applyAlignment="1">
      <alignment vertical="center" wrapText="1"/>
    </xf>
    <xf numFmtId="0" fontId="28" fillId="0" borderId="14" xfId="0" applyFont="1" applyFill="1" applyBorder="1" applyAlignment="1">
      <alignment vertical="center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vertical="center" wrapText="1"/>
    </xf>
    <xf numFmtId="0" fontId="28" fillId="0" borderId="11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vertical="center"/>
    </xf>
    <xf numFmtId="0" fontId="32" fillId="0" borderId="22" xfId="0" applyFont="1" applyFill="1" applyBorder="1" applyAlignment="1">
      <alignment vertical="center" wrapText="1"/>
    </xf>
    <xf numFmtId="177" fontId="33" fillId="0" borderId="22" xfId="0" applyNumberFormat="1" applyFont="1" applyFill="1" applyBorder="1" applyAlignment="1">
      <alignment vertical="center" shrinkToFit="1"/>
    </xf>
    <xf numFmtId="0" fontId="26" fillId="0" borderId="22" xfId="0" applyFont="1" applyFill="1" applyBorder="1" applyAlignment="1">
      <alignment vertical="center" shrinkToFit="1"/>
    </xf>
    <xf numFmtId="177" fontId="26" fillId="0" borderId="22" xfId="0" applyNumberFormat="1" applyFont="1" applyFill="1" applyBorder="1" applyAlignment="1">
      <alignment vertical="center" shrinkToFit="1"/>
    </xf>
    <xf numFmtId="0" fontId="26" fillId="0" borderId="22" xfId="0" applyNumberFormat="1" applyFont="1" applyFill="1" applyBorder="1" applyAlignment="1">
      <alignment vertical="center"/>
    </xf>
    <xf numFmtId="0" fontId="28" fillId="0" borderId="18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vertical="center" wrapText="1"/>
    </xf>
    <xf numFmtId="0" fontId="28" fillId="0" borderId="18" xfId="0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vertical="center"/>
    </xf>
    <xf numFmtId="0" fontId="28" fillId="0" borderId="5" xfId="0" applyFont="1" applyFill="1" applyBorder="1" applyAlignment="1">
      <alignment horizontal="center" vertical="center" wrapText="1"/>
    </xf>
    <xf numFmtId="0" fontId="37" fillId="0" borderId="5" xfId="0" applyFont="1" applyFill="1" applyBorder="1" applyAlignment="1">
      <alignment horizontal="center" vertical="center" wrapText="1"/>
    </xf>
    <xf numFmtId="0" fontId="26" fillId="0" borderId="11" xfId="0" applyNumberFormat="1" applyFont="1" applyFill="1" applyBorder="1" applyAlignment="1">
      <alignment vertical="center"/>
    </xf>
    <xf numFmtId="0" fontId="30" fillId="3" borderId="5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vertical="center" wrapText="1"/>
    </xf>
    <xf numFmtId="0" fontId="28" fillId="0" borderId="5" xfId="0" applyFont="1" applyFill="1" applyBorder="1" applyAlignment="1">
      <alignment horizontal="center" vertical="center"/>
    </xf>
    <xf numFmtId="0" fontId="31" fillId="3" borderId="5" xfId="0" applyFont="1" applyFill="1" applyBorder="1" applyAlignment="1">
      <alignment horizontal="center" vertical="center" wrapText="1"/>
    </xf>
    <xf numFmtId="0" fontId="4" fillId="0" borderId="55" xfId="1" applyFont="1" applyFill="1" applyBorder="1" applyAlignment="1" applyProtection="1">
      <alignment horizontal="center" vertical="center"/>
    </xf>
    <xf numFmtId="177" fontId="4" fillId="0" borderId="54" xfId="1" applyNumberFormat="1" applyFont="1" applyFill="1" applyBorder="1" applyAlignment="1" applyProtection="1">
      <alignment horizontal="center" vertical="center"/>
    </xf>
    <xf numFmtId="0" fontId="21" fillId="0" borderId="0" xfId="0" applyFont="1" applyAlignment="1">
      <alignment vertical="center" wrapText="1"/>
    </xf>
    <xf numFmtId="0" fontId="21" fillId="0" borderId="0" xfId="0" applyFont="1" applyAlignment="1">
      <alignment horizontal="left"/>
    </xf>
    <xf numFmtId="0" fontId="43" fillId="0" borderId="0" xfId="3" applyFont="1" applyAlignment="1" applyProtection="1">
      <alignment vertical="center"/>
    </xf>
    <xf numFmtId="0" fontId="13" fillId="0" borderId="0" xfId="0" applyFont="1">
      <alignment vertic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 wrapText="1"/>
    </xf>
    <xf numFmtId="0" fontId="13" fillId="0" borderId="0" xfId="0" applyFont="1" applyAlignment="1">
      <alignment horizontal="left"/>
    </xf>
    <xf numFmtId="0" fontId="44" fillId="0" borderId="0" xfId="3" applyFont="1" applyAlignment="1" applyProtection="1">
      <alignment horizontal="left"/>
    </xf>
    <xf numFmtId="0" fontId="45" fillId="0" borderId="0" xfId="0" applyFont="1" applyAlignment="1">
      <alignment horizontal="center"/>
    </xf>
    <xf numFmtId="176" fontId="6" fillId="6" borderId="19" xfId="0" applyNumberFormat="1" applyFont="1" applyFill="1" applyBorder="1" applyProtection="1">
      <alignment vertical="center"/>
      <protection locked="0"/>
    </xf>
    <xf numFmtId="178" fontId="7" fillId="2" borderId="33" xfId="1" applyNumberFormat="1" applyFont="1" applyFill="1" applyBorder="1" applyAlignment="1" applyProtection="1">
      <alignment vertical="center"/>
      <protection locked="0"/>
    </xf>
    <xf numFmtId="0" fontId="10" fillId="0" borderId="14" xfId="1" applyFont="1" applyFill="1" applyBorder="1" applyAlignment="1" applyProtection="1">
      <alignment vertical="center" shrinkToFit="1"/>
    </xf>
    <xf numFmtId="0" fontId="1" fillId="0" borderId="17" xfId="1" applyFill="1" applyBorder="1" applyAlignment="1" applyProtection="1">
      <alignment vertical="center"/>
    </xf>
    <xf numFmtId="0" fontId="1" fillId="0" borderId="31" xfId="1" applyFill="1" applyBorder="1" applyAlignment="1" applyProtection="1">
      <alignment vertical="center"/>
    </xf>
    <xf numFmtId="177" fontId="0" fillId="0" borderId="7" xfId="0" applyNumberFormat="1" applyFill="1" applyBorder="1" applyAlignment="1" applyProtection="1">
      <alignment horizontal="center" vertical="center"/>
    </xf>
    <xf numFmtId="177" fontId="0" fillId="0" borderId="13" xfId="0" applyNumberFormat="1" applyFill="1" applyBorder="1" applyAlignment="1" applyProtection="1">
      <alignment horizontal="center" vertical="center"/>
    </xf>
    <xf numFmtId="177" fontId="0" fillId="0" borderId="24" xfId="0" applyNumberFormat="1" applyFill="1" applyBorder="1" applyAlignment="1" applyProtection="1">
      <alignment horizontal="center" vertical="center"/>
    </xf>
    <xf numFmtId="177" fontId="12" fillId="0" borderId="39" xfId="1" applyNumberFormat="1" applyFont="1" applyFill="1" applyBorder="1" applyAlignment="1" applyProtection="1">
      <alignment horizontal="center" vertical="center"/>
    </xf>
    <xf numFmtId="177" fontId="12" fillId="0" borderId="54" xfId="1" applyNumberFormat="1" applyFont="1" applyFill="1" applyBorder="1" applyAlignment="1" applyProtection="1">
      <alignment horizontal="center" vertical="center"/>
    </xf>
    <xf numFmtId="177" fontId="12" fillId="0" borderId="34" xfId="1" applyNumberFormat="1" applyFont="1" applyFill="1" applyBorder="1" applyAlignment="1" applyProtection="1">
      <alignment horizontal="center" vertical="center"/>
    </xf>
    <xf numFmtId="177" fontId="12" fillId="0" borderId="59" xfId="1" applyNumberFormat="1" applyFont="1" applyFill="1" applyBorder="1" applyAlignment="1" applyProtection="1">
      <alignment horizontal="center" vertical="center"/>
    </xf>
    <xf numFmtId="177" fontId="1" fillId="2" borderId="15" xfId="1" applyNumberFormat="1" applyFill="1" applyBorder="1" applyAlignment="1" applyProtection="1">
      <alignment horizontal="center" vertical="center"/>
      <protection locked="0"/>
    </xf>
    <xf numFmtId="177" fontId="1" fillId="2" borderId="22" xfId="1" applyNumberFormat="1" applyFill="1" applyBorder="1" applyAlignment="1" applyProtection="1">
      <alignment horizontal="center" vertical="center"/>
      <protection locked="0"/>
    </xf>
    <xf numFmtId="177" fontId="1" fillId="2" borderId="23" xfId="1" applyNumberFormat="1" applyFill="1" applyBorder="1" applyAlignment="1" applyProtection="1">
      <alignment horizontal="center" vertical="center"/>
      <protection locked="0"/>
    </xf>
    <xf numFmtId="10" fontId="1" fillId="2" borderId="14" xfId="1" applyNumberFormat="1" applyFont="1" applyFill="1" applyBorder="1" applyAlignment="1" applyProtection="1">
      <alignment vertical="center" shrinkToFit="1"/>
    </xf>
    <xf numFmtId="0" fontId="11" fillId="2" borderId="1" xfId="2" applyFont="1" applyFill="1" applyBorder="1" applyAlignment="1" applyProtection="1">
      <alignment horizontal="center" vertical="center"/>
      <protection locked="0"/>
    </xf>
    <xf numFmtId="0" fontId="11" fillId="2" borderId="2" xfId="2" applyFont="1" applyFill="1" applyBorder="1" applyAlignment="1" applyProtection="1">
      <alignment horizontal="center" vertical="center"/>
      <protection locked="0"/>
    </xf>
    <xf numFmtId="0" fontId="11" fillId="2" borderId="3" xfId="2" applyFont="1" applyFill="1" applyBorder="1" applyAlignment="1" applyProtection="1">
      <alignment horizontal="center" vertical="center"/>
      <protection locked="0"/>
    </xf>
    <xf numFmtId="177" fontId="1" fillId="2" borderId="7" xfId="1" applyNumberFormat="1" applyFill="1" applyBorder="1" applyAlignment="1" applyProtection="1">
      <alignment horizontal="center" vertical="center"/>
      <protection locked="0"/>
    </xf>
    <xf numFmtId="177" fontId="1" fillId="2" borderId="8" xfId="1" applyNumberFormat="1" applyFill="1" applyBorder="1" applyAlignment="1" applyProtection="1">
      <alignment horizontal="center" vertical="center"/>
      <protection locked="0"/>
    </xf>
    <xf numFmtId="177" fontId="1" fillId="2" borderId="9" xfId="1" applyNumberFormat="1" applyFill="1" applyBorder="1" applyAlignment="1" applyProtection="1">
      <alignment horizontal="center" vertical="center"/>
      <protection locked="0"/>
    </xf>
    <xf numFmtId="177" fontId="1" fillId="2" borderId="24" xfId="1" applyNumberFormat="1" applyFill="1" applyBorder="1" applyAlignment="1" applyProtection="1">
      <alignment horizontal="center" vertical="center"/>
      <protection locked="0"/>
    </xf>
    <xf numFmtId="0" fontId="4" fillId="0" borderId="60" xfId="1" applyFont="1" applyFill="1" applyBorder="1" applyAlignment="1" applyProtection="1">
      <alignment horizontal="center" vertical="center"/>
    </xf>
    <xf numFmtId="0" fontId="28" fillId="0" borderId="18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34" fillId="0" borderId="5" xfId="0" applyFont="1" applyFill="1" applyBorder="1" applyAlignment="1">
      <alignment horizontal="center" vertical="center"/>
    </xf>
    <xf numFmtId="0" fontId="39" fillId="0" borderId="5" xfId="0" applyFont="1" applyFill="1" applyBorder="1" applyAlignment="1">
      <alignment horizontal="center" vertical="center"/>
    </xf>
    <xf numFmtId="31" fontId="39" fillId="0" borderId="5" xfId="0" applyNumberFormat="1" applyFont="1" applyFill="1" applyBorder="1" applyAlignment="1">
      <alignment horizontal="center" vertical="center"/>
    </xf>
    <xf numFmtId="31" fontId="39" fillId="0" borderId="6" xfId="0" applyNumberFormat="1" applyFont="1" applyFill="1" applyBorder="1" applyAlignment="1">
      <alignment horizontal="center" vertical="center"/>
    </xf>
    <xf numFmtId="0" fontId="4" fillId="0" borderId="26" xfId="1" applyFont="1" applyFill="1" applyBorder="1" applyAlignment="1" applyProtection="1">
      <alignment horizontal="center" vertical="center"/>
    </xf>
    <xf numFmtId="0" fontId="4" fillId="0" borderId="21" xfId="1" applyFont="1" applyFill="1" applyBorder="1" applyAlignment="1" applyProtection="1">
      <alignment horizontal="center" vertical="center"/>
    </xf>
    <xf numFmtId="0" fontId="4" fillId="0" borderId="42" xfId="1" applyFont="1" applyFill="1" applyBorder="1" applyAlignment="1" applyProtection="1">
      <alignment horizontal="center" vertical="center"/>
    </xf>
    <xf numFmtId="0" fontId="26" fillId="0" borderId="26" xfId="0" applyFont="1" applyFill="1" applyBorder="1" applyAlignment="1">
      <alignment horizontal="center" vertical="center" wrapText="1"/>
    </xf>
    <xf numFmtId="0" fontId="26" fillId="0" borderId="27" xfId="0" applyFont="1" applyFill="1" applyBorder="1" applyAlignment="1">
      <alignment horizontal="center" vertical="center" wrapText="1"/>
    </xf>
    <xf numFmtId="0" fontId="0" fillId="0" borderId="28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26" fillId="0" borderId="30" xfId="0" applyNumberFormat="1" applyFont="1" applyFill="1" applyBorder="1" applyAlignment="1">
      <alignment horizontal="center" vertical="center"/>
    </xf>
    <xf numFmtId="0" fontId="26" fillId="0" borderId="39" xfId="0" applyNumberFormat="1" applyFont="1" applyFill="1" applyBorder="1" applyAlignment="1">
      <alignment horizontal="center" vertical="center"/>
    </xf>
    <xf numFmtId="0" fontId="26" fillId="0" borderId="17" xfId="0" applyNumberFormat="1" applyFont="1" applyFill="1" applyBorder="1" applyAlignment="1">
      <alignment horizontal="center" vertical="center"/>
    </xf>
    <xf numFmtId="0" fontId="26" fillId="0" borderId="33" xfId="0" applyNumberFormat="1" applyFont="1" applyFill="1" applyBorder="1" applyAlignment="1">
      <alignment horizontal="center" vertical="center"/>
    </xf>
    <xf numFmtId="0" fontId="26" fillId="0" borderId="37" xfId="0" applyNumberFormat="1" applyFont="1" applyFill="1" applyBorder="1" applyAlignment="1">
      <alignment horizontal="center" vertical="center"/>
    </xf>
    <xf numFmtId="0" fontId="26" fillId="0" borderId="53" xfId="0" applyNumberFormat="1" applyFont="1" applyFill="1" applyBorder="1" applyAlignment="1">
      <alignment horizontal="center" vertical="center"/>
    </xf>
    <xf numFmtId="0" fontId="28" fillId="0" borderId="13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/>
    </xf>
    <xf numFmtId="0" fontId="28" fillId="0" borderId="15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0" fontId="28" fillId="0" borderId="41" xfId="0" applyFont="1" applyFill="1" applyBorder="1" applyAlignment="1">
      <alignment horizontal="center" vertical="center"/>
    </xf>
    <xf numFmtId="0" fontId="28" fillId="0" borderId="5" xfId="0" applyFont="1" applyFill="1" applyBorder="1" applyAlignment="1">
      <alignment horizontal="center" vertical="center" wrapText="1"/>
    </xf>
    <xf numFmtId="0" fontId="32" fillId="0" borderId="12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 wrapText="1"/>
    </xf>
    <xf numFmtId="0" fontId="24" fillId="0" borderId="4" xfId="0" applyFont="1" applyFill="1" applyBorder="1" applyAlignment="1">
      <alignment horizontal="center" vertical="center"/>
    </xf>
    <xf numFmtId="0" fontId="24" fillId="0" borderId="5" xfId="0" applyFont="1" applyFill="1" applyBorder="1" applyAlignment="1">
      <alignment horizontal="center" vertical="center"/>
    </xf>
    <xf numFmtId="0" fontId="24" fillId="0" borderId="28" xfId="0" applyFont="1" applyFill="1" applyBorder="1" applyAlignment="1">
      <alignment horizontal="center" vertical="center"/>
    </xf>
    <xf numFmtId="0" fontId="24" fillId="0" borderId="6" xfId="0" applyFont="1" applyFill="1" applyBorder="1" applyAlignment="1">
      <alignment horizontal="center" vertical="center"/>
    </xf>
    <xf numFmtId="0" fontId="32" fillId="0" borderId="13" xfId="0" applyFont="1" applyFill="1" applyBorder="1" applyAlignment="1">
      <alignment horizontal="center" vertical="center" wrapText="1"/>
    </xf>
    <xf numFmtId="0" fontId="32" fillId="0" borderId="14" xfId="0" applyFont="1" applyFill="1" applyBorder="1" applyAlignment="1">
      <alignment horizontal="center" vertical="center" wrapText="1"/>
    </xf>
    <xf numFmtId="0" fontId="26" fillId="0" borderId="14" xfId="0" applyFont="1" applyFill="1" applyBorder="1" applyAlignment="1">
      <alignment horizontal="center" vertical="center" shrinkToFit="1"/>
    </xf>
    <xf numFmtId="0" fontId="26" fillId="0" borderId="17" xfId="0" applyFont="1" applyFill="1" applyBorder="1" applyAlignment="1">
      <alignment horizontal="center" vertical="center" shrinkToFit="1"/>
    </xf>
    <xf numFmtId="0" fontId="26" fillId="0" borderId="11" xfId="0" applyFont="1" applyFill="1" applyBorder="1" applyAlignment="1">
      <alignment horizontal="center" vertical="center" shrinkToFit="1"/>
    </xf>
    <xf numFmtId="0" fontId="26" fillId="0" borderId="30" xfId="0" applyFont="1" applyFill="1" applyBorder="1" applyAlignment="1">
      <alignment horizontal="center" vertical="center" shrinkToFit="1"/>
    </xf>
    <xf numFmtId="0" fontId="28" fillId="0" borderId="20" xfId="0" applyFont="1" applyFill="1" applyBorder="1" applyAlignment="1">
      <alignment horizontal="center" vertical="center" wrapText="1"/>
    </xf>
    <xf numFmtId="0" fontId="32" fillId="0" borderId="24" xfId="0" applyFont="1" applyFill="1" applyBorder="1" applyAlignment="1">
      <alignment horizontal="center" vertical="center" wrapText="1"/>
    </xf>
    <xf numFmtId="0" fontId="32" fillId="0" borderId="22" xfId="0" applyFont="1" applyFill="1" applyBorder="1" applyAlignment="1">
      <alignment horizontal="center" vertical="center" wrapText="1"/>
    </xf>
    <xf numFmtId="0" fontId="26" fillId="0" borderId="22" xfId="0" applyFont="1" applyFill="1" applyBorder="1" applyAlignment="1">
      <alignment horizontal="center" vertical="center" shrinkToFit="1"/>
    </xf>
    <xf numFmtId="0" fontId="26" fillId="0" borderId="37" xfId="0" applyFont="1" applyFill="1" applyBorder="1" applyAlignment="1">
      <alignment horizontal="center" vertical="center" shrinkToFit="1"/>
    </xf>
    <xf numFmtId="0" fontId="28" fillId="0" borderId="11" xfId="0" applyFont="1" applyFill="1" applyBorder="1" applyAlignment="1">
      <alignment horizontal="center" vertical="center" wrapText="1"/>
    </xf>
    <xf numFmtId="0" fontId="1" fillId="0" borderId="36" xfId="1" applyFont="1" applyFill="1" applyBorder="1" applyAlignment="1" applyProtection="1">
      <alignment horizontal="center" vertical="center" shrinkToFit="1"/>
      <protection locked="0"/>
    </xf>
    <xf numFmtId="0" fontId="1" fillId="0" borderId="25" xfId="1" applyFont="1" applyFill="1" applyBorder="1" applyAlignment="1" applyProtection="1">
      <alignment horizontal="center" vertical="center" shrinkToFit="1"/>
      <protection locked="0"/>
    </xf>
    <xf numFmtId="0" fontId="35" fillId="0" borderId="5" xfId="0" applyFont="1" applyFill="1" applyBorder="1" applyAlignment="1">
      <alignment horizontal="center" vertical="center"/>
    </xf>
    <xf numFmtId="0" fontId="29" fillId="0" borderId="48" xfId="0" applyFont="1" applyFill="1" applyBorder="1" applyAlignment="1">
      <alignment horizontal="center" vertical="center" wrapText="1"/>
    </xf>
    <xf numFmtId="0" fontId="28" fillId="0" borderId="49" xfId="0" applyFont="1" applyFill="1" applyBorder="1" applyAlignment="1">
      <alignment horizontal="center" vertical="center" wrapText="1"/>
    </xf>
    <xf numFmtId="0" fontId="28" fillId="0" borderId="50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0" fontId="28" fillId="0" borderId="12" xfId="0" applyFont="1" applyFill="1" applyBorder="1" applyAlignment="1">
      <alignment horizontal="center" vertical="center" wrapText="1"/>
    </xf>
    <xf numFmtId="0" fontId="10" fillId="0" borderId="48" xfId="1" applyFont="1" applyFill="1" applyBorder="1" applyAlignment="1" applyProtection="1">
      <alignment horizontal="center" vertical="center" shrinkToFit="1"/>
    </xf>
    <xf numFmtId="0" fontId="10" fillId="0" borderId="49" xfId="1" applyFont="1" applyFill="1" applyBorder="1" applyAlignment="1" applyProtection="1">
      <alignment horizontal="center" vertical="center" shrinkToFit="1"/>
    </xf>
    <xf numFmtId="0" fontId="26" fillId="0" borderId="4" xfId="0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center" vertical="center" wrapText="1"/>
    </xf>
    <xf numFmtId="0" fontId="31" fillId="0" borderId="5" xfId="0" applyFont="1" applyFill="1" applyBorder="1" applyAlignment="1">
      <alignment horizontal="center" vertical="center" wrapText="1"/>
    </xf>
    <xf numFmtId="0" fontId="31" fillId="0" borderId="28" xfId="0" applyFont="1" applyFill="1" applyBorder="1" applyAlignment="1">
      <alignment horizontal="center" vertical="center" wrapText="1"/>
    </xf>
    <xf numFmtId="0" fontId="28" fillId="0" borderId="28" xfId="0" applyFont="1" applyFill="1" applyBorder="1" applyAlignment="1">
      <alignment horizontal="center" vertical="center" wrapText="1"/>
    </xf>
    <xf numFmtId="0" fontId="28" fillId="0" borderId="27" xfId="0" applyFont="1" applyFill="1" applyBorder="1" applyAlignment="1">
      <alignment horizontal="center" vertical="center" wrapText="1"/>
    </xf>
    <xf numFmtId="0" fontId="1" fillId="0" borderId="20" xfId="1" applyFont="1" applyFill="1" applyBorder="1" applyAlignment="1" applyProtection="1">
      <alignment horizontal="center" vertical="center" shrinkToFit="1"/>
    </xf>
    <xf numFmtId="0" fontId="1" fillId="0" borderId="18" xfId="1" applyFont="1" applyFill="1" applyBorder="1" applyAlignment="1" applyProtection="1">
      <alignment horizontal="center" vertical="center" shrinkToFit="1"/>
    </xf>
    <xf numFmtId="0" fontId="9" fillId="3" borderId="20" xfId="2" applyFont="1" applyFill="1" applyBorder="1" applyAlignment="1" applyProtection="1">
      <alignment horizontal="center" vertical="center"/>
      <protection locked="0"/>
    </xf>
    <xf numFmtId="0" fontId="9" fillId="3" borderId="18" xfId="2" applyFont="1" applyFill="1" applyBorder="1" applyAlignment="1" applyProtection="1">
      <alignment horizontal="center" vertical="center"/>
      <protection locked="0"/>
    </xf>
    <xf numFmtId="0" fontId="9" fillId="3" borderId="19" xfId="2" applyFont="1" applyFill="1" applyBorder="1" applyAlignment="1" applyProtection="1">
      <alignment horizontal="center" vertical="center"/>
      <protection locked="0"/>
    </xf>
    <xf numFmtId="0" fontId="10" fillId="0" borderId="1" xfId="1" applyFont="1" applyFill="1" applyBorder="1" applyAlignment="1" applyProtection="1">
      <alignment horizontal="center" vertical="center" shrinkToFit="1"/>
    </xf>
    <xf numFmtId="0" fontId="10" fillId="0" borderId="2" xfId="1" applyFont="1" applyFill="1" applyBorder="1" applyAlignment="1" applyProtection="1">
      <alignment horizontal="center" vertical="center" shrinkToFit="1"/>
    </xf>
    <xf numFmtId="0" fontId="4" fillId="0" borderId="4" xfId="1" applyFont="1" applyFill="1" applyBorder="1" applyAlignment="1" applyProtection="1">
      <alignment horizontal="center" vertical="center"/>
    </xf>
    <xf numFmtId="0" fontId="4" fillId="0" borderId="5" xfId="1" applyFont="1" applyFill="1" applyBorder="1" applyAlignment="1" applyProtection="1">
      <alignment horizontal="center" vertical="center"/>
    </xf>
    <xf numFmtId="0" fontId="4" fillId="0" borderId="6" xfId="1" applyFont="1" applyFill="1" applyBorder="1" applyAlignment="1" applyProtection="1">
      <alignment horizontal="center" vertical="center"/>
    </xf>
    <xf numFmtId="0" fontId="10" fillId="0" borderId="26" xfId="1" applyFont="1" applyFill="1" applyBorder="1" applyAlignment="1" applyProtection="1">
      <alignment horizontal="center" vertical="center" shrinkToFit="1"/>
    </xf>
    <xf numFmtId="0" fontId="10" fillId="0" borderId="21" xfId="1" applyFont="1" applyFill="1" applyBorder="1" applyAlignment="1" applyProtection="1">
      <alignment horizontal="center" vertical="center" shrinkToFit="1"/>
    </xf>
    <xf numFmtId="0" fontId="7" fillId="3" borderId="22" xfId="1" applyFont="1" applyFill="1" applyBorder="1" applyAlignment="1" applyProtection="1">
      <alignment horizontal="center" vertical="center"/>
      <protection locked="0"/>
    </xf>
    <xf numFmtId="0" fontId="1" fillId="0" borderId="22" xfId="1" applyFont="1" applyFill="1" applyBorder="1" applyAlignment="1" applyProtection="1">
      <alignment horizontal="center" vertical="center" shrinkToFit="1"/>
    </xf>
    <xf numFmtId="10" fontId="6" fillId="2" borderId="22" xfId="0" applyNumberFormat="1" applyFont="1" applyFill="1" applyBorder="1" applyAlignment="1" applyProtection="1">
      <alignment horizontal="center" vertical="center"/>
      <protection locked="0"/>
    </xf>
    <xf numFmtId="10" fontId="6" fillId="2" borderId="23" xfId="0" applyNumberFormat="1" applyFont="1" applyFill="1" applyBorder="1" applyAlignment="1" applyProtection="1">
      <alignment horizontal="center" vertical="center"/>
      <protection locked="0"/>
    </xf>
    <xf numFmtId="0" fontId="1" fillId="0" borderId="25" xfId="1" applyFont="1" applyFill="1" applyBorder="1" applyAlignment="1" applyProtection="1">
      <alignment horizontal="center" vertical="center" shrinkToFit="1"/>
    </xf>
    <xf numFmtId="0" fontId="7" fillId="5" borderId="22" xfId="1" applyFont="1" applyFill="1" applyBorder="1" applyAlignment="1" applyProtection="1">
      <alignment horizontal="center" vertical="center"/>
      <protection locked="0"/>
    </xf>
    <xf numFmtId="0" fontId="1" fillId="0" borderId="13" xfId="1" applyFont="1" applyFill="1" applyBorder="1" applyAlignment="1" applyProtection="1">
      <alignment horizontal="center" vertical="center" shrinkToFit="1"/>
    </xf>
    <xf numFmtId="0" fontId="1" fillId="0" borderId="14" xfId="1" applyFont="1" applyFill="1" applyBorder="1" applyAlignment="1" applyProtection="1">
      <alignment horizontal="center" vertical="center" shrinkToFit="1"/>
    </xf>
    <xf numFmtId="0" fontId="7" fillId="4" borderId="14" xfId="1" applyFont="1" applyFill="1" applyBorder="1" applyAlignment="1" applyProtection="1">
      <alignment horizontal="center" vertical="center"/>
      <protection locked="0"/>
    </xf>
    <xf numFmtId="10" fontId="1" fillId="2" borderId="14" xfId="1" applyNumberFormat="1" applyFont="1" applyFill="1" applyBorder="1" applyAlignment="1" applyProtection="1">
      <alignment horizontal="center" vertical="center"/>
      <protection locked="0"/>
    </xf>
    <xf numFmtId="10" fontId="1" fillId="2" borderId="15" xfId="1" applyNumberFormat="1" applyFont="1" applyFill="1" applyBorder="1" applyAlignment="1" applyProtection="1">
      <alignment horizontal="center" vertical="center"/>
      <protection locked="0"/>
    </xf>
    <xf numFmtId="0" fontId="1" fillId="0" borderId="16" xfId="1" applyFont="1" applyFill="1" applyBorder="1" applyAlignment="1" applyProtection="1">
      <alignment horizontal="center" vertical="center" shrinkToFit="1"/>
    </xf>
    <xf numFmtId="0" fontId="7" fillId="5" borderId="14" xfId="1" applyFont="1" applyFill="1" applyBorder="1" applyAlignment="1" applyProtection="1">
      <alignment horizontal="center" vertical="center"/>
      <protection locked="0"/>
    </xf>
    <xf numFmtId="0" fontId="9" fillId="3" borderId="24" xfId="2" applyFont="1" applyFill="1" applyBorder="1" applyAlignment="1" applyProtection="1">
      <alignment horizontal="center" vertical="center"/>
      <protection locked="0"/>
    </xf>
    <xf numFmtId="0" fontId="9" fillId="3" borderId="22" xfId="2" applyFont="1" applyFill="1" applyBorder="1" applyAlignment="1" applyProtection="1">
      <alignment horizontal="center" vertical="center"/>
      <protection locked="0"/>
    </xf>
    <xf numFmtId="0" fontId="9" fillId="3" borderId="23" xfId="2" applyFont="1" applyFill="1" applyBorder="1" applyAlignment="1" applyProtection="1">
      <alignment horizontal="center" vertical="center"/>
      <protection locked="0"/>
    </xf>
    <xf numFmtId="0" fontId="1" fillId="0" borderId="11" xfId="1" applyFont="1" applyFill="1" applyBorder="1" applyAlignment="1" applyProtection="1">
      <alignment horizontal="center" vertical="center" shrinkToFit="1"/>
    </xf>
    <xf numFmtId="0" fontId="7" fillId="2" borderId="14" xfId="1" applyFont="1" applyFill="1" applyBorder="1" applyAlignment="1" applyProtection="1">
      <alignment horizontal="center" vertical="center"/>
      <protection locked="0"/>
    </xf>
    <xf numFmtId="0" fontId="7" fillId="2" borderId="15" xfId="1" applyFont="1" applyFill="1" applyBorder="1" applyAlignment="1" applyProtection="1">
      <alignment horizontal="center" vertical="center"/>
      <protection locked="0"/>
    </xf>
    <xf numFmtId="0" fontId="10" fillId="0" borderId="13" xfId="1" applyFont="1" applyFill="1" applyBorder="1" applyAlignment="1" applyProtection="1">
      <alignment horizontal="center" vertical="center" shrinkToFit="1"/>
    </xf>
    <xf numFmtId="0" fontId="10" fillId="0" borderId="14" xfId="1" applyFont="1" applyFill="1" applyBorder="1" applyAlignment="1" applyProtection="1">
      <alignment horizontal="center" vertical="center" shrinkToFit="1"/>
    </xf>
    <xf numFmtId="0" fontId="6" fillId="3" borderId="17" xfId="0" applyFont="1" applyFill="1" applyBorder="1" applyAlignment="1" applyProtection="1">
      <alignment horizontal="center" vertical="center"/>
    </xf>
    <xf numFmtId="0" fontId="6" fillId="3" borderId="16" xfId="0" applyFont="1" applyFill="1" applyBorder="1" applyAlignment="1" applyProtection="1">
      <alignment horizontal="center" vertical="center"/>
    </xf>
    <xf numFmtId="14" fontId="7" fillId="6" borderId="14" xfId="1" applyNumberFormat="1" applyFont="1" applyFill="1" applyBorder="1" applyAlignment="1" applyProtection="1">
      <alignment horizontal="center" vertical="center"/>
      <protection locked="0"/>
    </xf>
    <xf numFmtId="14" fontId="7" fillId="6" borderId="15" xfId="1" applyNumberFormat="1" applyFont="1" applyFill="1" applyBorder="1" applyAlignment="1" applyProtection="1">
      <alignment horizontal="center" vertical="center"/>
      <protection locked="0"/>
    </xf>
    <xf numFmtId="0" fontId="1" fillId="0" borderId="10" xfId="1" applyFont="1" applyFill="1" applyBorder="1" applyAlignment="1" applyProtection="1">
      <alignment horizontal="center" vertical="center" shrinkToFit="1"/>
    </xf>
    <xf numFmtId="0" fontId="7" fillId="4" borderId="11" xfId="1" applyFont="1" applyFill="1" applyBorder="1" applyAlignment="1" applyProtection="1">
      <alignment horizontal="center" vertical="center"/>
      <protection locked="0"/>
    </xf>
    <xf numFmtId="0" fontId="6" fillId="3" borderId="28" xfId="0" applyFont="1" applyFill="1" applyBorder="1" applyAlignment="1" applyProtection="1">
      <alignment vertical="top" wrapText="1" readingOrder="1"/>
    </xf>
    <xf numFmtId="0" fontId="6" fillId="3" borderId="21" xfId="0" applyFont="1" applyFill="1" applyBorder="1" applyAlignment="1" applyProtection="1">
      <alignment vertical="top" wrapText="1" readingOrder="1"/>
    </xf>
    <xf numFmtId="0" fontId="6" fillId="3" borderId="42" xfId="0" applyFont="1" applyFill="1" applyBorder="1" applyAlignment="1" applyProtection="1">
      <alignment vertical="top" wrapText="1" readingOrder="1"/>
    </xf>
    <xf numFmtId="0" fontId="1" fillId="3" borderId="14" xfId="1" applyFont="1" applyFill="1" applyBorder="1" applyAlignment="1" applyProtection="1">
      <alignment horizontal="center" vertical="center"/>
      <protection locked="0"/>
    </xf>
    <xf numFmtId="14" fontId="16" fillId="6" borderId="0" xfId="1" applyNumberFormat="1" applyFont="1" applyFill="1" applyBorder="1" applyAlignment="1" applyProtection="1">
      <alignment horizontal="left" vertical="center"/>
      <protection locked="0"/>
    </xf>
    <xf numFmtId="0" fontId="10" fillId="0" borderId="26" xfId="1" applyFont="1" applyFill="1" applyBorder="1" applyAlignment="1" applyProtection="1">
      <alignment horizontal="center" vertical="center"/>
    </xf>
    <xf numFmtId="0" fontId="10" fillId="0" borderId="21" xfId="1" applyFont="1" applyFill="1" applyBorder="1" applyAlignment="1" applyProtection="1">
      <alignment horizontal="center" vertical="center"/>
    </xf>
    <xf numFmtId="0" fontId="10" fillId="0" borderId="42" xfId="1" applyFont="1" applyFill="1" applyBorder="1" applyAlignment="1" applyProtection="1">
      <alignment horizontal="center" vertical="center"/>
    </xf>
    <xf numFmtId="0" fontId="9" fillId="3" borderId="58" xfId="2" applyFont="1" applyFill="1" applyBorder="1" applyAlignment="1" applyProtection="1">
      <alignment horizontal="center" vertical="center"/>
      <protection locked="0"/>
    </xf>
    <xf numFmtId="0" fontId="6" fillId="3" borderId="46" xfId="0" applyFont="1" applyFill="1" applyBorder="1" applyAlignment="1" applyProtection="1">
      <alignment horizontal="center" vertical="center"/>
    </xf>
    <xf numFmtId="0" fontId="6" fillId="3" borderId="35" xfId="0" applyFont="1" applyFill="1" applyBorder="1" applyAlignment="1" applyProtection="1">
      <alignment horizontal="center" vertical="center"/>
    </xf>
    <xf numFmtId="0" fontId="6" fillId="3" borderId="33" xfId="0" applyFont="1" applyFill="1" applyBorder="1" applyAlignment="1" applyProtection="1">
      <alignment horizontal="center" vertical="center"/>
    </xf>
    <xf numFmtId="178" fontId="7" fillId="2" borderId="14" xfId="1" applyNumberFormat="1" applyFont="1" applyFill="1" applyBorder="1" applyAlignment="1" applyProtection="1">
      <alignment horizontal="center" vertical="center"/>
      <protection locked="0"/>
    </xf>
    <xf numFmtId="178" fontId="7" fillId="2" borderId="17" xfId="1" applyNumberFormat="1" applyFont="1" applyFill="1" applyBorder="1" applyAlignment="1" applyProtection="1">
      <alignment horizontal="center" vertical="center"/>
      <protection locked="0"/>
    </xf>
    <xf numFmtId="0" fontId="7" fillId="0" borderId="57" xfId="1" applyFont="1" applyFill="1" applyBorder="1" applyAlignment="1" applyProtection="1">
      <alignment horizontal="center" vertical="center"/>
      <protection locked="0"/>
    </xf>
    <xf numFmtId="0" fontId="7" fillId="3" borderId="14" xfId="1" applyFont="1" applyFill="1" applyBorder="1" applyAlignment="1" applyProtection="1">
      <alignment horizontal="center" vertical="center"/>
      <protection locked="0"/>
    </xf>
    <xf numFmtId="0" fontId="7" fillId="3" borderId="17" xfId="1" applyFont="1" applyFill="1" applyBorder="1" applyAlignment="1" applyProtection="1">
      <alignment horizontal="center" vertical="center"/>
      <protection locked="0"/>
    </xf>
    <xf numFmtId="0" fontId="17" fillId="0" borderId="0" xfId="2" applyFont="1" applyFill="1" applyBorder="1" applyAlignment="1" applyProtection="1">
      <alignment horizontal="center" vertical="center"/>
      <protection locked="0"/>
    </xf>
    <xf numFmtId="0" fontId="7" fillId="0" borderId="14" xfId="1" applyFont="1" applyFill="1" applyBorder="1" applyAlignment="1" applyProtection="1">
      <alignment horizontal="center" vertical="center"/>
      <protection locked="0"/>
    </xf>
    <xf numFmtId="0" fontId="6" fillId="0" borderId="14" xfId="1" applyFont="1" applyFill="1" applyBorder="1" applyAlignment="1" applyProtection="1">
      <alignment horizontal="center" vertical="center"/>
    </xf>
    <xf numFmtId="0" fontId="2" fillId="0" borderId="0" xfId="1" applyFont="1" applyFill="1" applyBorder="1" applyAlignment="1" applyProtection="1">
      <alignment horizontal="center" vertical="center"/>
    </xf>
    <xf numFmtId="14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10" fillId="0" borderId="3" xfId="1" applyFont="1" applyFill="1" applyBorder="1" applyAlignment="1" applyProtection="1">
      <alignment horizontal="center" vertical="center" shrinkToFit="1"/>
    </xf>
    <xf numFmtId="0" fontId="10" fillId="0" borderId="1" xfId="1" applyFont="1" applyFill="1" applyBorder="1" applyAlignment="1" applyProtection="1">
      <alignment horizontal="center" vertical="center"/>
    </xf>
    <xf numFmtId="0" fontId="10" fillId="0" borderId="2" xfId="1" applyFont="1" applyFill="1" applyBorder="1" applyAlignment="1" applyProtection="1">
      <alignment horizontal="center" vertical="center"/>
    </xf>
    <xf numFmtId="0" fontId="10" fillId="0" borderId="3" xfId="1" applyFont="1" applyFill="1" applyBorder="1" applyAlignment="1" applyProtection="1">
      <alignment horizontal="center" vertical="center"/>
    </xf>
    <xf numFmtId="0" fontId="1" fillId="0" borderId="7" xfId="1" applyFont="1" applyFill="1" applyBorder="1" applyAlignment="1" applyProtection="1">
      <alignment horizontal="center" vertical="center" shrinkToFit="1"/>
    </xf>
    <xf numFmtId="0" fontId="1" fillId="0" borderId="8" xfId="1" applyFont="1" applyFill="1" applyBorder="1" applyAlignment="1" applyProtection="1">
      <alignment horizontal="center" vertical="center" shrinkToFit="1"/>
    </xf>
    <xf numFmtId="0" fontId="6" fillId="3" borderId="8" xfId="1" applyFont="1" applyFill="1" applyBorder="1" applyAlignment="1" applyProtection="1">
      <alignment horizontal="center" vertical="center"/>
      <protection locked="0"/>
    </xf>
    <xf numFmtId="0" fontId="7" fillId="3" borderId="8" xfId="1" applyFont="1" applyFill="1" applyBorder="1" applyAlignment="1" applyProtection="1">
      <alignment horizontal="center" vertical="center"/>
      <protection locked="0"/>
    </xf>
    <xf numFmtId="0" fontId="7" fillId="3" borderId="40" xfId="1" applyFont="1" applyFill="1" applyBorder="1" applyAlignment="1" applyProtection="1">
      <alignment horizontal="center" vertical="center"/>
      <protection locked="0"/>
    </xf>
    <xf numFmtId="0" fontId="6" fillId="3" borderId="45" xfId="0" applyFont="1" applyFill="1" applyBorder="1" applyAlignment="1" applyProtection="1">
      <alignment horizontal="center" vertical="center"/>
    </xf>
    <xf numFmtId="0" fontId="6" fillId="3" borderId="38" xfId="0" applyFont="1" applyFill="1" applyBorder="1" applyAlignment="1" applyProtection="1">
      <alignment horizontal="center" vertical="center"/>
    </xf>
    <xf numFmtId="0" fontId="6" fillId="3" borderId="39" xfId="0" applyFont="1" applyFill="1" applyBorder="1" applyAlignment="1" applyProtection="1">
      <alignment horizontal="center" vertical="center"/>
    </xf>
    <xf numFmtId="14" fontId="16" fillId="3" borderId="0" xfId="1" applyNumberFormat="1" applyFont="1" applyFill="1" applyBorder="1" applyAlignment="1" applyProtection="1">
      <alignment horizontal="left" vertical="center"/>
      <protection locked="0"/>
    </xf>
    <xf numFmtId="0" fontId="6" fillId="3" borderId="43" xfId="0" applyFont="1" applyFill="1" applyBorder="1" applyAlignment="1" applyProtection="1">
      <alignment horizontal="center" vertical="center"/>
    </xf>
    <xf numFmtId="0" fontId="6" fillId="3" borderId="44" xfId="0" applyFont="1" applyFill="1" applyBorder="1" applyAlignment="1" applyProtection="1">
      <alignment horizontal="center" vertical="center"/>
    </xf>
    <xf numFmtId="0" fontId="6" fillId="3" borderId="32" xfId="0" applyFont="1" applyFill="1" applyBorder="1" applyAlignment="1" applyProtection="1">
      <alignment horizontal="center" vertical="center"/>
    </xf>
    <xf numFmtId="0" fontId="7" fillId="0" borderId="56" xfId="1" applyFont="1" applyFill="1" applyBorder="1" applyAlignment="1" applyProtection="1">
      <alignment horizontal="center" vertical="center"/>
      <protection locked="0"/>
    </xf>
    <xf numFmtId="0" fontId="7" fillId="0" borderId="55" xfId="1" applyFont="1" applyFill="1" applyBorder="1" applyAlignment="1" applyProtection="1">
      <alignment horizontal="center" vertical="center"/>
      <protection locked="0"/>
    </xf>
    <xf numFmtId="0" fontId="7" fillId="0" borderId="30" xfId="1" applyFont="1" applyFill="1" applyBorder="1" applyAlignment="1" applyProtection="1">
      <alignment horizontal="center" vertical="center"/>
      <protection locked="0"/>
    </xf>
    <xf numFmtId="0" fontId="7" fillId="0" borderId="10" xfId="1" applyFont="1" applyFill="1" applyBorder="1" applyAlignment="1" applyProtection="1">
      <alignment horizontal="center" vertical="center"/>
      <protection locked="0"/>
    </xf>
  </cellXfs>
  <cellStyles count="4">
    <cellStyle name="常规" xfId="0" builtinId="0"/>
    <cellStyle name="常规 2" xfId="1"/>
    <cellStyle name="常规_Sheet2" xfId="2"/>
    <cellStyle name="超链接" xfId="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17</xdr:row>
      <xdr:rowOff>142876</xdr:rowOff>
    </xdr:from>
    <xdr:to>
      <xdr:col>0</xdr:col>
      <xdr:colOff>781050</xdr:colOff>
      <xdr:row>17</xdr:row>
      <xdr:rowOff>255270</xdr:rowOff>
    </xdr:to>
    <xdr:sp macro="" textlink="">
      <xdr:nvSpPr>
        <xdr:cNvPr id="2" name="右箭头 1"/>
        <xdr:cNvSpPr/>
      </xdr:nvSpPr>
      <xdr:spPr>
        <a:xfrm>
          <a:off x="457200" y="3571876"/>
          <a:ext cx="323850" cy="112394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B18"/>
  <sheetViews>
    <sheetView workbookViewId="0"/>
  </sheetViews>
  <sheetFormatPr defaultRowHeight="13.5" x14ac:dyDescent="0.15"/>
  <cols>
    <col min="1" max="1" width="11.75" customWidth="1"/>
    <col min="2" max="2" width="121.625" customWidth="1"/>
  </cols>
  <sheetData>
    <row r="1" spans="1:2" ht="22.5" customHeight="1" x14ac:dyDescent="0.3">
      <c r="B1" s="110" t="s">
        <v>99</v>
      </c>
    </row>
    <row r="2" spans="1:2" ht="22.5" customHeight="1" x14ac:dyDescent="0.15">
      <c r="A2" s="59" t="s">
        <v>63</v>
      </c>
      <c r="B2" s="103" t="s">
        <v>100</v>
      </c>
    </row>
    <row r="3" spans="1:2" ht="22.5" customHeight="1" x14ac:dyDescent="0.15">
      <c r="A3" s="106">
        <v>1</v>
      </c>
      <c r="B3" s="103" t="s">
        <v>105</v>
      </c>
    </row>
    <row r="4" spans="1:2" ht="30.75" customHeight="1" x14ac:dyDescent="0.15">
      <c r="A4" s="106">
        <v>2</v>
      </c>
      <c r="B4" s="107" t="s">
        <v>94</v>
      </c>
    </row>
    <row r="5" spans="1:2" ht="30.75" customHeight="1" x14ac:dyDescent="0.15">
      <c r="A5" s="106">
        <v>3</v>
      </c>
      <c r="B5" s="102" t="s">
        <v>98</v>
      </c>
    </row>
    <row r="6" spans="1:2" ht="30.75" customHeight="1" x14ac:dyDescent="0.15">
      <c r="A6" s="106">
        <v>4</v>
      </c>
      <c r="B6" s="61" t="s">
        <v>70</v>
      </c>
    </row>
    <row r="7" spans="1:2" ht="31.5" customHeight="1" x14ac:dyDescent="0.15">
      <c r="A7" s="106">
        <v>5</v>
      </c>
      <c r="B7" s="107" t="s">
        <v>95</v>
      </c>
    </row>
    <row r="8" spans="1:2" ht="31.5" customHeight="1" x14ac:dyDescent="0.15">
      <c r="A8" s="106">
        <v>6</v>
      </c>
      <c r="B8" s="107" t="s">
        <v>96</v>
      </c>
    </row>
    <row r="9" spans="1:2" ht="22.5" customHeight="1" x14ac:dyDescent="0.15">
      <c r="A9" s="106">
        <v>7</v>
      </c>
      <c r="B9" s="108" t="s">
        <v>65</v>
      </c>
    </row>
    <row r="10" spans="1:2" ht="22.5" customHeight="1" x14ac:dyDescent="0.15">
      <c r="A10" s="106">
        <v>8</v>
      </c>
      <c r="B10" s="108" t="s">
        <v>64</v>
      </c>
    </row>
    <row r="11" spans="1:2" ht="22.5" customHeight="1" x14ac:dyDescent="0.15">
      <c r="A11" s="106">
        <v>9</v>
      </c>
      <c r="B11" s="108" t="s">
        <v>67</v>
      </c>
    </row>
    <row r="12" spans="1:2" ht="22.5" customHeight="1" x14ac:dyDescent="0.15">
      <c r="A12" s="106">
        <v>10</v>
      </c>
      <c r="B12" s="108" t="s">
        <v>66</v>
      </c>
    </row>
    <row r="13" spans="1:2" ht="22.5" customHeight="1" x14ac:dyDescent="0.15">
      <c r="A13" s="106">
        <v>11</v>
      </c>
      <c r="B13" s="108" t="s">
        <v>68</v>
      </c>
    </row>
    <row r="14" spans="1:2" ht="22.5" customHeight="1" x14ac:dyDescent="0.15">
      <c r="A14" s="106">
        <v>12</v>
      </c>
      <c r="B14" s="109" t="s">
        <v>97</v>
      </c>
    </row>
    <row r="15" spans="1:2" ht="22.5" customHeight="1" x14ac:dyDescent="0.15">
      <c r="A15" s="106">
        <v>13</v>
      </c>
      <c r="B15" s="108" t="s">
        <v>101</v>
      </c>
    </row>
    <row r="16" spans="1:2" x14ac:dyDescent="0.15">
      <c r="A16" s="60"/>
    </row>
    <row r="17" spans="1:2" x14ac:dyDescent="0.15">
      <c r="A17" s="58"/>
    </row>
    <row r="18" spans="1:2" ht="33" customHeight="1" x14ac:dyDescent="0.15">
      <c r="A18" s="105" t="s">
        <v>109</v>
      </c>
      <c r="B18" s="104" t="s">
        <v>108</v>
      </c>
    </row>
  </sheetData>
  <phoneticPr fontId="3" type="noConversion"/>
  <hyperlinks>
    <hyperlink ref="B14" location="工厂名和客户品牌的规范叫法!A1" display="工厂、客户/品牌的填写规范，见“工厂名和客户品牌的规范叫法”"/>
    <hyperlink ref="B18" location="生产通知单模版!A1" display="打开标准格式的“生产通知单模板”"/>
  </hyperlink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  <pageSetUpPr fitToPage="1"/>
  </sheetPr>
  <dimension ref="A1:V63"/>
  <sheetViews>
    <sheetView tabSelected="1" zoomScaleNormal="100" workbookViewId="0">
      <selection activeCell="K4" sqref="K4:L5"/>
    </sheetView>
  </sheetViews>
  <sheetFormatPr defaultColWidth="9" defaultRowHeight="13.5" x14ac:dyDescent="0.15"/>
  <cols>
    <col min="1" max="1" width="9.25" style="1" customWidth="1"/>
    <col min="2" max="2" width="11.375" style="1" customWidth="1"/>
    <col min="3" max="3" width="11.5" style="1" customWidth="1"/>
    <col min="4" max="4" width="9.5" style="1" customWidth="1"/>
    <col min="5" max="5" width="10.25" style="1" customWidth="1"/>
    <col min="6" max="6" width="7.5" style="1" customWidth="1"/>
    <col min="7" max="7" width="9.5" style="1" customWidth="1"/>
    <col min="8" max="8" width="7.625" style="1" customWidth="1"/>
    <col min="9" max="9" width="7.5" style="1" customWidth="1"/>
    <col min="10" max="10" width="10.75" style="1" customWidth="1"/>
    <col min="11" max="11" width="9.375" style="1" customWidth="1"/>
    <col min="12" max="12" width="9.5" style="1" customWidth="1"/>
    <col min="13" max="13" width="7.5" style="1" customWidth="1"/>
    <col min="14" max="14" width="7.375" style="1" customWidth="1"/>
    <col min="15" max="15" width="15.625" style="1" customWidth="1"/>
    <col min="16" max="16" width="10.375" style="1" customWidth="1"/>
    <col min="17" max="17" width="10.25" style="1" customWidth="1"/>
    <col min="18" max="18" width="9.25" style="4" customWidth="1"/>
    <col min="19" max="19" width="7.5" style="1" customWidth="1"/>
    <col min="20" max="20" width="11.625" style="1" customWidth="1"/>
    <col min="21" max="16384" width="9" style="1"/>
  </cols>
  <sheetData>
    <row r="1" spans="1:20" ht="27" x14ac:dyDescent="0.15">
      <c r="A1" s="259" t="s">
        <v>106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</row>
    <row r="2" spans="1:20" s="25" customFormat="1" ht="15" thickBot="1" x14ac:dyDescent="0.2">
      <c r="A2" s="2" t="s">
        <v>0</v>
      </c>
      <c r="B2" s="48"/>
      <c r="C2" s="2" t="s">
        <v>38</v>
      </c>
      <c r="D2" s="243" t="s">
        <v>49</v>
      </c>
      <c r="E2" s="243"/>
      <c r="F2" s="256" t="s">
        <v>36</v>
      </c>
      <c r="G2" s="256"/>
      <c r="H2" s="243" t="s">
        <v>49</v>
      </c>
      <c r="I2" s="243"/>
      <c r="J2" s="27" t="s">
        <v>47</v>
      </c>
      <c r="K2" s="273" t="s">
        <v>49</v>
      </c>
      <c r="L2" s="273"/>
      <c r="M2" s="260" t="s">
        <v>46</v>
      </c>
      <c r="N2" s="260"/>
      <c r="O2" s="56" t="s">
        <v>54</v>
      </c>
      <c r="P2" s="3" t="s">
        <v>2</v>
      </c>
      <c r="Q2" s="56" t="s">
        <v>55</v>
      </c>
      <c r="R2" s="3" t="s">
        <v>1</v>
      </c>
      <c r="S2" s="243"/>
      <c r="T2" s="243"/>
    </row>
    <row r="3" spans="1:20" ht="22.15" customHeight="1" thickBot="1" x14ac:dyDescent="0.2">
      <c r="A3" s="205" t="s">
        <v>3</v>
      </c>
      <c r="B3" s="206"/>
      <c r="C3" s="206"/>
      <c r="D3" s="206"/>
      <c r="E3" s="206"/>
      <c r="F3" s="206"/>
      <c r="G3" s="206"/>
      <c r="H3" s="261"/>
      <c r="I3" s="262" t="s">
        <v>4</v>
      </c>
      <c r="J3" s="263"/>
      <c r="K3" s="263"/>
      <c r="L3" s="263"/>
      <c r="M3" s="263"/>
      <c r="N3" s="263"/>
      <c r="O3" s="264"/>
      <c r="P3" s="205" t="s">
        <v>5</v>
      </c>
      <c r="Q3" s="206"/>
      <c r="R3" s="206"/>
      <c r="S3" s="206"/>
      <c r="T3" s="261"/>
    </row>
    <row r="4" spans="1:20" s="5" customFormat="1" ht="22.15" customHeight="1" x14ac:dyDescent="0.15">
      <c r="A4" s="265" t="s">
        <v>6</v>
      </c>
      <c r="B4" s="266"/>
      <c r="C4" s="267"/>
      <c r="D4" s="267"/>
      <c r="E4" s="266" t="s">
        <v>7</v>
      </c>
      <c r="F4" s="266"/>
      <c r="G4" s="268"/>
      <c r="H4" s="269"/>
      <c r="I4" s="265" t="s">
        <v>41</v>
      </c>
      <c r="J4" s="266"/>
      <c r="K4" s="277"/>
      <c r="L4" s="278"/>
      <c r="M4" s="266" t="s">
        <v>42</v>
      </c>
      <c r="N4" s="266"/>
      <c r="O4" s="51"/>
      <c r="P4" s="274"/>
      <c r="Q4" s="275"/>
      <c r="R4" s="275"/>
      <c r="S4" s="275"/>
      <c r="T4" s="276"/>
    </row>
    <row r="5" spans="1:20" s="5" customFormat="1" ht="22.15" customHeight="1" x14ac:dyDescent="0.15">
      <c r="A5" s="218" t="s">
        <v>8</v>
      </c>
      <c r="B5" s="219"/>
      <c r="C5" s="242"/>
      <c r="D5" s="242"/>
      <c r="E5" s="219" t="s">
        <v>50</v>
      </c>
      <c r="F5" s="219"/>
      <c r="G5" s="251"/>
      <c r="H5" s="252"/>
      <c r="I5" s="218"/>
      <c r="J5" s="219"/>
      <c r="K5" s="279"/>
      <c r="L5" s="280"/>
      <c r="M5" s="219" t="s">
        <v>43</v>
      </c>
      <c r="N5" s="219"/>
      <c r="O5" s="52"/>
      <c r="P5" s="270"/>
      <c r="Q5" s="271"/>
      <c r="R5" s="271"/>
      <c r="S5" s="271"/>
      <c r="T5" s="272"/>
    </row>
    <row r="6" spans="1:20" s="5" customFormat="1" ht="22.15" customHeight="1" x14ac:dyDescent="0.15">
      <c r="A6" s="218" t="s">
        <v>10</v>
      </c>
      <c r="B6" s="219"/>
      <c r="C6" s="242"/>
      <c r="D6" s="242"/>
      <c r="E6" s="219" t="s">
        <v>51</v>
      </c>
      <c r="F6" s="219"/>
      <c r="G6" s="251"/>
      <c r="H6" s="252"/>
      <c r="I6" s="218" t="s">
        <v>9</v>
      </c>
      <c r="J6" s="219"/>
      <c r="K6" s="257"/>
      <c r="L6" s="257"/>
      <c r="M6" s="219" t="s">
        <v>44</v>
      </c>
      <c r="N6" s="219"/>
      <c r="O6" s="52"/>
      <c r="P6" s="248"/>
      <c r="Q6" s="249"/>
      <c r="R6" s="249"/>
      <c r="S6" s="249"/>
      <c r="T6" s="250"/>
    </row>
    <row r="7" spans="1:20" s="5" customFormat="1" ht="33" customHeight="1" thickBot="1" x14ac:dyDescent="0.2">
      <c r="A7" s="218" t="s">
        <v>12</v>
      </c>
      <c r="B7" s="219"/>
      <c r="C7" s="233"/>
      <c r="D7" s="234"/>
      <c r="E7" s="113" t="s">
        <v>163</v>
      </c>
      <c r="F7" s="126"/>
      <c r="G7" s="113" t="s">
        <v>164</v>
      </c>
      <c r="H7" s="112"/>
      <c r="I7" s="200" t="s">
        <v>11</v>
      </c>
      <c r="J7" s="201"/>
      <c r="K7" s="253"/>
      <c r="L7" s="253"/>
      <c r="M7" s="201" t="s">
        <v>45</v>
      </c>
      <c r="N7" s="201"/>
      <c r="O7" s="111"/>
      <c r="P7" s="202"/>
      <c r="Q7" s="203"/>
      <c r="R7" s="203"/>
      <c r="S7" s="203"/>
      <c r="T7" s="204"/>
    </row>
    <row r="8" spans="1:20" s="5" customFormat="1" ht="22.15" customHeight="1" thickBot="1" x14ac:dyDescent="0.2">
      <c r="A8" s="231" t="s">
        <v>13</v>
      </c>
      <c r="B8" s="232"/>
      <c r="C8" s="242"/>
      <c r="D8" s="242"/>
      <c r="E8" s="219" t="s">
        <v>40</v>
      </c>
      <c r="F8" s="219"/>
      <c r="G8" s="254"/>
      <c r="H8" s="255"/>
      <c r="I8" s="244" t="s">
        <v>162</v>
      </c>
      <c r="J8" s="245"/>
      <c r="K8" s="245"/>
      <c r="L8" s="245"/>
      <c r="M8" s="245"/>
      <c r="N8" s="245"/>
      <c r="O8" s="246"/>
      <c r="P8" s="247"/>
      <c r="Q8" s="203"/>
      <c r="R8" s="203"/>
      <c r="S8" s="203"/>
      <c r="T8" s="204"/>
    </row>
    <row r="9" spans="1:20" s="5" customFormat="1" ht="22.15" customHeight="1" x14ac:dyDescent="0.15">
      <c r="A9" s="231" t="s">
        <v>14</v>
      </c>
      <c r="B9" s="232"/>
      <c r="C9" s="233"/>
      <c r="D9" s="234"/>
      <c r="E9" s="219" t="s">
        <v>35</v>
      </c>
      <c r="F9" s="219"/>
      <c r="G9" s="235" t="s">
        <v>39</v>
      </c>
      <c r="H9" s="236"/>
      <c r="I9" s="237" t="s">
        <v>15</v>
      </c>
      <c r="J9" s="228"/>
      <c r="K9" s="238"/>
      <c r="L9" s="238"/>
      <c r="M9" s="228" t="s">
        <v>16</v>
      </c>
      <c r="N9" s="228"/>
      <c r="O9" s="53"/>
      <c r="P9" s="202"/>
      <c r="Q9" s="203"/>
      <c r="R9" s="203"/>
      <c r="S9" s="203"/>
      <c r="T9" s="204"/>
    </row>
    <row r="10" spans="1:20" s="5" customFormat="1" ht="22.15" customHeight="1" x14ac:dyDescent="0.15">
      <c r="A10" s="218" t="s">
        <v>17</v>
      </c>
      <c r="B10" s="219"/>
      <c r="C10" s="242"/>
      <c r="D10" s="242"/>
      <c r="E10" s="258" t="s">
        <v>18</v>
      </c>
      <c r="F10" s="258"/>
      <c r="G10" s="229"/>
      <c r="H10" s="230"/>
      <c r="I10" s="223" t="s">
        <v>19</v>
      </c>
      <c r="J10" s="219"/>
      <c r="K10" s="224"/>
      <c r="L10" s="224"/>
      <c r="M10" s="219" t="s">
        <v>20</v>
      </c>
      <c r="N10" s="219"/>
      <c r="O10" s="54"/>
      <c r="P10" s="202"/>
      <c r="Q10" s="203"/>
      <c r="R10" s="203"/>
      <c r="S10" s="203"/>
      <c r="T10" s="204"/>
    </row>
    <row r="11" spans="1:20" s="5" customFormat="1" ht="22.15" customHeight="1" thickBot="1" x14ac:dyDescent="0.2">
      <c r="A11" s="218" t="s">
        <v>21</v>
      </c>
      <c r="B11" s="219"/>
      <c r="C11" s="220"/>
      <c r="D11" s="220"/>
      <c r="E11" s="219" t="s">
        <v>52</v>
      </c>
      <c r="F11" s="219"/>
      <c r="G11" s="221"/>
      <c r="H11" s="222"/>
      <c r="I11" s="223" t="s">
        <v>22</v>
      </c>
      <c r="J11" s="219"/>
      <c r="K11" s="224"/>
      <c r="L11" s="224"/>
      <c r="M11" s="219" t="s">
        <v>23</v>
      </c>
      <c r="N11" s="219"/>
      <c r="O11" s="54"/>
      <c r="P11" s="225"/>
      <c r="Q11" s="226"/>
      <c r="R11" s="226"/>
      <c r="S11" s="226"/>
      <c r="T11" s="227"/>
    </row>
    <row r="12" spans="1:20" s="5" customFormat="1" ht="22.15" customHeight="1" thickBot="1" x14ac:dyDescent="0.2">
      <c r="A12" s="182" t="s">
        <v>34</v>
      </c>
      <c r="B12" s="183"/>
      <c r="C12" s="212"/>
      <c r="D12" s="212"/>
      <c r="E12" s="213" t="s">
        <v>53</v>
      </c>
      <c r="F12" s="213"/>
      <c r="G12" s="214"/>
      <c r="H12" s="215"/>
      <c r="I12" s="216" t="s">
        <v>24</v>
      </c>
      <c r="J12" s="213"/>
      <c r="K12" s="217"/>
      <c r="L12" s="217"/>
      <c r="M12" s="213" t="s">
        <v>25</v>
      </c>
      <c r="N12" s="213"/>
      <c r="O12" s="55"/>
      <c r="P12" s="49" t="s">
        <v>37</v>
      </c>
      <c r="Q12" s="50"/>
      <c r="R12" s="239" t="s">
        <v>48</v>
      </c>
      <c r="S12" s="240"/>
      <c r="T12" s="241"/>
    </row>
    <row r="13" spans="1:20" ht="22.15" customHeight="1" thickBot="1" x14ac:dyDescent="0.2">
      <c r="A13" s="210" t="s">
        <v>69</v>
      </c>
      <c r="B13" s="211"/>
      <c r="C13" s="211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205" t="s">
        <v>26</v>
      </c>
      <c r="S13" s="206"/>
      <c r="T13" s="6" t="str">
        <f>IF(G10=T21,"总数准确","总数错误")</f>
        <v>总数准确</v>
      </c>
    </row>
    <row r="14" spans="1:20" s="9" customFormat="1" ht="22.15" customHeight="1" thickBot="1" x14ac:dyDescent="0.2">
      <c r="A14" s="7" t="s">
        <v>27</v>
      </c>
      <c r="B14" s="8" t="s">
        <v>28</v>
      </c>
      <c r="C14" s="134" t="s">
        <v>166</v>
      </c>
      <c r="D14" s="127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9"/>
      <c r="T14" s="39" t="s">
        <v>29</v>
      </c>
    </row>
    <row r="15" spans="1:20" ht="22.15" customHeight="1" x14ac:dyDescent="0.15">
      <c r="A15" s="10"/>
      <c r="B15" s="11"/>
      <c r="C15" s="12"/>
      <c r="D15" s="130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2"/>
      <c r="T15" s="119">
        <f>SUM(D15:S15)</f>
        <v>0</v>
      </c>
    </row>
    <row r="16" spans="1:20" ht="22.15" customHeight="1" x14ac:dyDescent="0.15">
      <c r="A16" s="13"/>
      <c r="B16" s="14"/>
      <c r="C16" s="16"/>
      <c r="D16" s="26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23"/>
      <c r="T16" s="119">
        <f>SUM(D16:S16)</f>
        <v>0</v>
      </c>
    </row>
    <row r="17" spans="1:20" ht="22.15" customHeight="1" x14ac:dyDescent="0.15">
      <c r="A17" s="13"/>
      <c r="B17" s="14"/>
      <c r="C17" s="16"/>
      <c r="D17" s="26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23"/>
      <c r="T17" s="119">
        <f t="shared" ref="T17:T20" si="0">SUM(D17:S17)</f>
        <v>0</v>
      </c>
    </row>
    <row r="18" spans="1:20" ht="22.15" customHeight="1" x14ac:dyDescent="0.15">
      <c r="A18" s="13"/>
      <c r="B18" s="14"/>
      <c r="C18" s="16"/>
      <c r="D18" s="26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23"/>
      <c r="T18" s="119">
        <f t="shared" si="0"/>
        <v>0</v>
      </c>
    </row>
    <row r="19" spans="1:20" ht="22.15" customHeight="1" x14ac:dyDescent="0.15">
      <c r="A19" s="13"/>
      <c r="B19" s="14"/>
      <c r="C19" s="16"/>
      <c r="D19" s="26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23"/>
      <c r="T19" s="119">
        <f t="shared" si="0"/>
        <v>0</v>
      </c>
    </row>
    <row r="20" spans="1:20" ht="22.15" customHeight="1" thickBot="1" x14ac:dyDescent="0.2">
      <c r="A20" s="17"/>
      <c r="B20" s="18"/>
      <c r="C20" s="19"/>
      <c r="D20" s="133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  <c r="T20" s="119">
        <f t="shared" si="0"/>
        <v>0</v>
      </c>
    </row>
    <row r="21" spans="1:20" ht="22.15" customHeight="1" thickBot="1" x14ac:dyDescent="0.2">
      <c r="A21" s="207" t="s">
        <v>30</v>
      </c>
      <c r="B21" s="208"/>
      <c r="C21" s="209"/>
      <c r="D21" s="120">
        <f t="shared" ref="D21:S21" si="1">SUM(D15:D20)</f>
        <v>0</v>
      </c>
      <c r="E21" s="121">
        <f t="shared" si="1"/>
        <v>0</v>
      </c>
      <c r="F21" s="121">
        <f t="shared" si="1"/>
        <v>0</v>
      </c>
      <c r="G21" s="121">
        <f t="shared" si="1"/>
        <v>0</v>
      </c>
      <c r="H21" s="121">
        <f t="shared" si="1"/>
        <v>0</v>
      </c>
      <c r="I21" s="121">
        <f t="shared" si="1"/>
        <v>0</v>
      </c>
      <c r="J21" s="121">
        <f t="shared" si="1"/>
        <v>0</v>
      </c>
      <c r="K21" s="121">
        <f t="shared" si="1"/>
        <v>0</v>
      </c>
      <c r="L21" s="121">
        <f t="shared" si="1"/>
        <v>0</v>
      </c>
      <c r="M21" s="121">
        <f t="shared" si="1"/>
        <v>0</v>
      </c>
      <c r="N21" s="121">
        <f t="shared" si="1"/>
        <v>0</v>
      </c>
      <c r="O21" s="121">
        <f t="shared" si="1"/>
        <v>0</v>
      </c>
      <c r="P21" s="121">
        <f t="shared" si="1"/>
        <v>0</v>
      </c>
      <c r="Q21" s="121">
        <f t="shared" si="1"/>
        <v>0</v>
      </c>
      <c r="R21" s="121">
        <f t="shared" si="1"/>
        <v>0</v>
      </c>
      <c r="S21" s="122">
        <f t="shared" si="1"/>
        <v>0</v>
      </c>
      <c r="T21" s="20">
        <f>SUM(D21:S21)</f>
        <v>0</v>
      </c>
    </row>
    <row r="22" spans="1:20" ht="22.15" customHeight="1" thickBot="1" x14ac:dyDescent="0.2">
      <c r="A22" s="210" t="s">
        <v>31</v>
      </c>
      <c r="B22" s="211"/>
      <c r="C22" s="211"/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  <c r="O22" s="193"/>
      <c r="P22" s="193"/>
      <c r="Q22" s="192" t="s">
        <v>32</v>
      </c>
      <c r="R22" s="193"/>
      <c r="S22" s="33" t="e">
        <f>(T30/G10-1)</f>
        <v>#DIV/0!</v>
      </c>
      <c r="T22" s="28" t="e">
        <f>IF(S22-1%&gt;F7,"加裁偏大",IF(S22+1%&lt;F7,"加裁偏小","比例正确"))</f>
        <v>#DIV/0!</v>
      </c>
    </row>
    <row r="23" spans="1:20" s="31" customFormat="1" ht="22.15" customHeight="1" thickBot="1" x14ac:dyDescent="0.2">
      <c r="A23" s="62" t="s">
        <v>27</v>
      </c>
      <c r="B23" s="63" t="s">
        <v>28</v>
      </c>
      <c r="C23" s="134" t="s">
        <v>166</v>
      </c>
      <c r="D23" s="100" t="str">
        <f>IF(D14="","",D14)</f>
        <v/>
      </c>
      <c r="E23" s="29" t="str">
        <f t="shared" ref="E23:S23" si="2">IF(E14="","",E14)</f>
        <v/>
      </c>
      <c r="F23" s="29" t="str">
        <f t="shared" si="2"/>
        <v/>
      </c>
      <c r="G23" s="29" t="str">
        <f t="shared" si="2"/>
        <v/>
      </c>
      <c r="H23" s="29" t="str">
        <f t="shared" si="2"/>
        <v/>
      </c>
      <c r="I23" s="29" t="str">
        <f t="shared" si="2"/>
        <v/>
      </c>
      <c r="J23" s="29" t="str">
        <f t="shared" si="2"/>
        <v/>
      </c>
      <c r="K23" s="29" t="str">
        <f t="shared" si="2"/>
        <v/>
      </c>
      <c r="L23" s="29" t="str">
        <f t="shared" si="2"/>
        <v/>
      </c>
      <c r="M23" s="29" t="str">
        <f t="shared" si="2"/>
        <v/>
      </c>
      <c r="N23" s="29" t="str">
        <f t="shared" si="2"/>
        <v/>
      </c>
      <c r="O23" s="29" t="str">
        <f t="shared" si="2"/>
        <v/>
      </c>
      <c r="P23" s="29" t="str">
        <f t="shared" si="2"/>
        <v/>
      </c>
      <c r="Q23" s="29" t="str">
        <f t="shared" si="2"/>
        <v/>
      </c>
      <c r="R23" s="29" t="str">
        <f t="shared" si="2"/>
        <v/>
      </c>
      <c r="S23" s="30" t="str">
        <f t="shared" si="2"/>
        <v/>
      </c>
      <c r="T23" s="39" t="s">
        <v>33</v>
      </c>
    </row>
    <row r="24" spans="1:20" ht="22.15" customHeight="1" x14ac:dyDescent="0.15">
      <c r="A24" s="21" t="str">
        <f>IF(A15="","",A15)</f>
        <v/>
      </c>
      <c r="B24" s="22" t="str">
        <f>IF(B15="","",B15)</f>
        <v/>
      </c>
      <c r="C24" s="114" t="str">
        <f t="shared" ref="C24" si="3">IF(C15="","",C15)</f>
        <v/>
      </c>
      <c r="D24" s="116" t="str">
        <f t="shared" ref="D24:S24" si="4">IF(D15="","",CEILING(D15*(1+$F$7),1))</f>
        <v/>
      </c>
      <c r="E24" s="40" t="str">
        <f t="shared" si="4"/>
        <v/>
      </c>
      <c r="F24" s="40" t="str">
        <f t="shared" si="4"/>
        <v/>
      </c>
      <c r="G24" s="40" t="str">
        <f t="shared" si="4"/>
        <v/>
      </c>
      <c r="H24" s="40" t="str">
        <f t="shared" si="4"/>
        <v/>
      </c>
      <c r="I24" s="40" t="str">
        <f t="shared" si="4"/>
        <v/>
      </c>
      <c r="J24" s="40" t="str">
        <f t="shared" si="4"/>
        <v/>
      </c>
      <c r="K24" s="40" t="str">
        <f t="shared" si="4"/>
        <v/>
      </c>
      <c r="L24" s="40" t="str">
        <f t="shared" si="4"/>
        <v/>
      </c>
      <c r="M24" s="40" t="str">
        <f t="shared" si="4"/>
        <v/>
      </c>
      <c r="N24" s="40" t="str">
        <f t="shared" si="4"/>
        <v/>
      </c>
      <c r="O24" s="40" t="str">
        <f t="shared" si="4"/>
        <v/>
      </c>
      <c r="P24" s="40" t="str">
        <f t="shared" si="4"/>
        <v/>
      </c>
      <c r="Q24" s="40" t="str">
        <f t="shared" si="4"/>
        <v/>
      </c>
      <c r="R24" s="40" t="str">
        <f t="shared" si="4"/>
        <v/>
      </c>
      <c r="S24" s="41" t="str">
        <f t="shared" si="4"/>
        <v/>
      </c>
      <c r="T24" s="38">
        <f>SUM(D24:S24)</f>
        <v>0</v>
      </c>
    </row>
    <row r="25" spans="1:20" ht="22.15" customHeight="1" x14ac:dyDescent="0.15">
      <c r="A25" s="23" t="str">
        <f t="shared" ref="A25:C29" si="5">IF(A16="","",A16)</f>
        <v/>
      </c>
      <c r="B25" s="24" t="str">
        <f t="shared" si="5"/>
        <v/>
      </c>
      <c r="C25" s="114" t="str">
        <f t="shared" ref="C25" si="6">IF(C16="","",C16)</f>
        <v/>
      </c>
      <c r="D25" s="117" t="str">
        <f t="shared" ref="D25:S25" si="7">IF(D16="","",CEILING(D16*(1+$F$7),1))</f>
        <v/>
      </c>
      <c r="E25" s="42" t="str">
        <f t="shared" si="7"/>
        <v/>
      </c>
      <c r="F25" s="42" t="str">
        <f t="shared" si="7"/>
        <v/>
      </c>
      <c r="G25" s="42" t="str">
        <f t="shared" si="7"/>
        <v/>
      </c>
      <c r="H25" s="42" t="str">
        <f t="shared" si="7"/>
        <v/>
      </c>
      <c r="I25" s="42" t="str">
        <f t="shared" si="7"/>
        <v/>
      </c>
      <c r="J25" s="42" t="str">
        <f t="shared" si="7"/>
        <v/>
      </c>
      <c r="K25" s="42" t="str">
        <f t="shared" si="7"/>
        <v/>
      </c>
      <c r="L25" s="42" t="str">
        <f t="shared" si="7"/>
        <v/>
      </c>
      <c r="M25" s="42" t="str">
        <f t="shared" si="7"/>
        <v/>
      </c>
      <c r="N25" s="42" t="str">
        <f t="shared" si="7"/>
        <v/>
      </c>
      <c r="O25" s="42" t="str">
        <f t="shared" si="7"/>
        <v/>
      </c>
      <c r="P25" s="42" t="str">
        <f t="shared" si="7"/>
        <v/>
      </c>
      <c r="Q25" s="42" t="str">
        <f t="shared" si="7"/>
        <v/>
      </c>
      <c r="R25" s="42" t="str">
        <f t="shared" si="7"/>
        <v/>
      </c>
      <c r="S25" s="43" t="str">
        <f t="shared" si="7"/>
        <v/>
      </c>
      <c r="T25" s="32">
        <f t="shared" ref="T25:T29" si="8">SUM(D25:S25)</f>
        <v>0</v>
      </c>
    </row>
    <row r="26" spans="1:20" ht="22.15" customHeight="1" x14ac:dyDescent="0.15">
      <c r="A26" s="23" t="str">
        <f t="shared" si="5"/>
        <v/>
      </c>
      <c r="B26" s="24" t="str">
        <f t="shared" si="5"/>
        <v/>
      </c>
      <c r="C26" s="114" t="str">
        <f t="shared" ref="C26" si="9">IF(C17="","",C17)</f>
        <v/>
      </c>
      <c r="D26" s="117" t="str">
        <f t="shared" ref="D26:S26" si="10">IF(D17="","",CEILING(D17*(1+$F$7),1))</f>
        <v/>
      </c>
      <c r="E26" s="42" t="str">
        <f t="shared" si="10"/>
        <v/>
      </c>
      <c r="F26" s="42" t="str">
        <f t="shared" si="10"/>
        <v/>
      </c>
      <c r="G26" s="42" t="str">
        <f t="shared" si="10"/>
        <v/>
      </c>
      <c r="H26" s="42" t="str">
        <f t="shared" si="10"/>
        <v/>
      </c>
      <c r="I26" s="42" t="str">
        <f t="shared" si="10"/>
        <v/>
      </c>
      <c r="J26" s="42" t="str">
        <f t="shared" si="10"/>
        <v/>
      </c>
      <c r="K26" s="42" t="str">
        <f t="shared" si="10"/>
        <v/>
      </c>
      <c r="L26" s="42" t="str">
        <f t="shared" si="10"/>
        <v/>
      </c>
      <c r="M26" s="42" t="str">
        <f t="shared" si="10"/>
        <v/>
      </c>
      <c r="N26" s="42" t="str">
        <f t="shared" si="10"/>
        <v/>
      </c>
      <c r="O26" s="42" t="str">
        <f t="shared" si="10"/>
        <v/>
      </c>
      <c r="P26" s="42" t="str">
        <f t="shared" si="10"/>
        <v/>
      </c>
      <c r="Q26" s="42" t="str">
        <f t="shared" si="10"/>
        <v/>
      </c>
      <c r="R26" s="42" t="str">
        <f t="shared" si="10"/>
        <v/>
      </c>
      <c r="S26" s="43" t="str">
        <f t="shared" si="10"/>
        <v/>
      </c>
      <c r="T26" s="32">
        <f t="shared" si="8"/>
        <v>0</v>
      </c>
    </row>
    <row r="27" spans="1:20" ht="22.15" customHeight="1" x14ac:dyDescent="0.15">
      <c r="A27" s="23" t="str">
        <f t="shared" si="5"/>
        <v/>
      </c>
      <c r="B27" s="24" t="str">
        <f t="shared" si="5"/>
        <v/>
      </c>
      <c r="C27" s="114" t="str">
        <f t="shared" si="5"/>
        <v/>
      </c>
      <c r="D27" s="117" t="str">
        <f t="shared" ref="D27:S27" si="11">IF(D18="","",CEILING(D18*(1+$F$7),1))</f>
        <v/>
      </c>
      <c r="E27" s="42" t="str">
        <f t="shared" si="11"/>
        <v/>
      </c>
      <c r="F27" s="42" t="str">
        <f t="shared" si="11"/>
        <v/>
      </c>
      <c r="G27" s="42" t="str">
        <f t="shared" si="11"/>
        <v/>
      </c>
      <c r="H27" s="42" t="str">
        <f t="shared" si="11"/>
        <v/>
      </c>
      <c r="I27" s="42" t="str">
        <f t="shared" si="11"/>
        <v/>
      </c>
      <c r="J27" s="42" t="str">
        <f t="shared" si="11"/>
        <v/>
      </c>
      <c r="K27" s="42" t="str">
        <f t="shared" si="11"/>
        <v/>
      </c>
      <c r="L27" s="42" t="str">
        <f t="shared" si="11"/>
        <v/>
      </c>
      <c r="M27" s="42" t="str">
        <f t="shared" si="11"/>
        <v/>
      </c>
      <c r="N27" s="42" t="str">
        <f t="shared" si="11"/>
        <v/>
      </c>
      <c r="O27" s="42" t="str">
        <f t="shared" si="11"/>
        <v/>
      </c>
      <c r="P27" s="42" t="str">
        <f t="shared" si="11"/>
        <v/>
      </c>
      <c r="Q27" s="42" t="str">
        <f t="shared" si="11"/>
        <v/>
      </c>
      <c r="R27" s="42" t="str">
        <f t="shared" si="11"/>
        <v/>
      </c>
      <c r="S27" s="43" t="str">
        <f t="shared" si="11"/>
        <v/>
      </c>
      <c r="T27" s="32">
        <f t="shared" si="8"/>
        <v>0</v>
      </c>
    </row>
    <row r="28" spans="1:20" ht="22.15" customHeight="1" x14ac:dyDescent="0.15">
      <c r="A28" s="23" t="str">
        <f t="shared" si="5"/>
        <v/>
      </c>
      <c r="B28" s="24" t="str">
        <f t="shared" si="5"/>
        <v/>
      </c>
      <c r="C28" s="114" t="str">
        <f t="shared" si="5"/>
        <v/>
      </c>
      <c r="D28" s="117" t="str">
        <f t="shared" ref="D28:S28" si="12">IF(D19="","",CEILING(D19*(1+$F$7),1))</f>
        <v/>
      </c>
      <c r="E28" s="42" t="str">
        <f t="shared" si="12"/>
        <v/>
      </c>
      <c r="F28" s="42" t="str">
        <f t="shared" si="12"/>
        <v/>
      </c>
      <c r="G28" s="42" t="str">
        <f t="shared" si="12"/>
        <v/>
      </c>
      <c r="H28" s="42" t="str">
        <f t="shared" si="12"/>
        <v/>
      </c>
      <c r="I28" s="42" t="str">
        <f t="shared" si="12"/>
        <v/>
      </c>
      <c r="J28" s="42" t="str">
        <f t="shared" si="12"/>
        <v/>
      </c>
      <c r="K28" s="42" t="str">
        <f t="shared" si="12"/>
        <v/>
      </c>
      <c r="L28" s="42" t="str">
        <f t="shared" si="12"/>
        <v/>
      </c>
      <c r="M28" s="42" t="str">
        <f t="shared" si="12"/>
        <v/>
      </c>
      <c r="N28" s="42" t="str">
        <f t="shared" si="12"/>
        <v/>
      </c>
      <c r="O28" s="42" t="str">
        <f t="shared" si="12"/>
        <v/>
      </c>
      <c r="P28" s="42" t="str">
        <f t="shared" si="12"/>
        <v/>
      </c>
      <c r="Q28" s="42" t="str">
        <f t="shared" si="12"/>
        <v/>
      </c>
      <c r="R28" s="42" t="str">
        <f t="shared" si="12"/>
        <v/>
      </c>
      <c r="S28" s="43" t="str">
        <f t="shared" si="12"/>
        <v/>
      </c>
      <c r="T28" s="32">
        <f t="shared" si="8"/>
        <v>0</v>
      </c>
    </row>
    <row r="29" spans="1:20" ht="22.15" customHeight="1" thickBot="1" x14ac:dyDescent="0.2">
      <c r="A29" s="34" t="str">
        <f t="shared" si="5"/>
        <v/>
      </c>
      <c r="B29" s="35" t="str">
        <f t="shared" si="5"/>
        <v/>
      </c>
      <c r="C29" s="115" t="str">
        <f t="shared" si="5"/>
        <v/>
      </c>
      <c r="D29" s="118" t="str">
        <f t="shared" ref="D29:S29" si="13">IF(D20="","",CEILING(D20*(1+$F$7),1))</f>
        <v/>
      </c>
      <c r="E29" s="44" t="str">
        <f t="shared" si="13"/>
        <v/>
      </c>
      <c r="F29" s="44" t="str">
        <f t="shared" si="13"/>
        <v/>
      </c>
      <c r="G29" s="44" t="str">
        <f t="shared" si="13"/>
        <v/>
      </c>
      <c r="H29" s="44" t="str">
        <f t="shared" si="13"/>
        <v/>
      </c>
      <c r="I29" s="44" t="str">
        <f t="shared" si="13"/>
        <v/>
      </c>
      <c r="J29" s="44" t="str">
        <f t="shared" si="13"/>
        <v/>
      </c>
      <c r="K29" s="44" t="str">
        <f t="shared" si="13"/>
        <v/>
      </c>
      <c r="L29" s="44" t="str">
        <f t="shared" si="13"/>
        <v/>
      </c>
      <c r="M29" s="44" t="str">
        <f t="shared" si="13"/>
        <v/>
      </c>
      <c r="N29" s="44" t="str">
        <f t="shared" si="13"/>
        <v/>
      </c>
      <c r="O29" s="44" t="str">
        <f t="shared" si="13"/>
        <v/>
      </c>
      <c r="P29" s="44" t="str">
        <f t="shared" si="13"/>
        <v/>
      </c>
      <c r="Q29" s="44" t="str">
        <f t="shared" si="13"/>
        <v/>
      </c>
      <c r="R29" s="44" t="str">
        <f t="shared" si="13"/>
        <v/>
      </c>
      <c r="S29" s="45" t="str">
        <f t="shared" si="13"/>
        <v/>
      </c>
      <c r="T29" s="36">
        <f t="shared" si="8"/>
        <v>0</v>
      </c>
    </row>
    <row r="30" spans="1:20" ht="22.15" customHeight="1" thickBot="1" x14ac:dyDescent="0.2">
      <c r="A30" s="144" t="s">
        <v>30</v>
      </c>
      <c r="B30" s="145"/>
      <c r="C30" s="146"/>
      <c r="D30" s="101">
        <f t="shared" ref="D30:S30" si="14">SUM(D24:D29)</f>
        <v>0</v>
      </c>
      <c r="E30" s="46">
        <f t="shared" si="14"/>
        <v>0</v>
      </c>
      <c r="F30" s="46">
        <f t="shared" si="14"/>
        <v>0</v>
      </c>
      <c r="G30" s="46">
        <f t="shared" si="14"/>
        <v>0</v>
      </c>
      <c r="H30" s="46">
        <f t="shared" si="14"/>
        <v>0</v>
      </c>
      <c r="I30" s="46">
        <f t="shared" si="14"/>
        <v>0</v>
      </c>
      <c r="J30" s="46">
        <f t="shared" si="14"/>
        <v>0</v>
      </c>
      <c r="K30" s="46">
        <f t="shared" si="14"/>
        <v>0</v>
      </c>
      <c r="L30" s="46">
        <f t="shared" si="14"/>
        <v>0</v>
      </c>
      <c r="M30" s="46">
        <f t="shared" si="14"/>
        <v>0</v>
      </c>
      <c r="N30" s="46">
        <f t="shared" si="14"/>
        <v>0</v>
      </c>
      <c r="O30" s="46">
        <f t="shared" si="14"/>
        <v>0</v>
      </c>
      <c r="P30" s="46">
        <f t="shared" si="14"/>
        <v>0</v>
      </c>
      <c r="Q30" s="46">
        <f t="shared" si="14"/>
        <v>0</v>
      </c>
      <c r="R30" s="46">
        <f t="shared" si="14"/>
        <v>0</v>
      </c>
      <c r="S30" s="47">
        <f t="shared" si="14"/>
        <v>0</v>
      </c>
      <c r="T30" s="37">
        <f>SUM(D30:S30)</f>
        <v>0</v>
      </c>
    </row>
    <row r="31" spans="1:20" ht="22.15" customHeight="1" thickBot="1" x14ac:dyDescent="0.2">
      <c r="A31" s="144" t="s">
        <v>92</v>
      </c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6"/>
    </row>
    <row r="32" spans="1:20" ht="21.75" thickBot="1" x14ac:dyDescent="0.2">
      <c r="A32" s="166" t="s">
        <v>71</v>
      </c>
      <c r="B32" s="167"/>
      <c r="C32" s="167"/>
      <c r="D32" s="167"/>
      <c r="E32" s="167"/>
      <c r="F32" s="167"/>
      <c r="G32" s="167"/>
      <c r="H32" s="167"/>
      <c r="I32" s="167"/>
      <c r="J32" s="168"/>
      <c r="K32" s="166" t="s">
        <v>72</v>
      </c>
      <c r="L32" s="167"/>
      <c r="M32" s="167"/>
      <c r="N32" s="167"/>
      <c r="O32" s="167"/>
      <c r="P32" s="167"/>
      <c r="Q32" s="167"/>
      <c r="R32" s="167"/>
      <c r="S32" s="167"/>
      <c r="T32" s="169"/>
    </row>
    <row r="33" spans="1:22" ht="32.25" thickBot="1" x14ac:dyDescent="0.2">
      <c r="A33" s="194" t="s">
        <v>73</v>
      </c>
      <c r="B33" s="195"/>
      <c r="C33" s="163" t="s">
        <v>74</v>
      </c>
      <c r="D33" s="163"/>
      <c r="E33" s="93" t="s">
        <v>75</v>
      </c>
      <c r="F33" s="93" t="s">
        <v>76</v>
      </c>
      <c r="G33" s="93" t="s">
        <v>77</v>
      </c>
      <c r="H33" s="96" t="s">
        <v>78</v>
      </c>
      <c r="I33" s="196" t="s">
        <v>90</v>
      </c>
      <c r="J33" s="197"/>
      <c r="K33" s="147" t="s">
        <v>73</v>
      </c>
      <c r="L33" s="148"/>
      <c r="M33" s="198" t="s">
        <v>74</v>
      </c>
      <c r="N33" s="199"/>
      <c r="O33" s="93" t="s">
        <v>75</v>
      </c>
      <c r="P33" s="97" t="s">
        <v>76</v>
      </c>
      <c r="Q33" s="98" t="s">
        <v>77</v>
      </c>
      <c r="R33" s="99" t="s">
        <v>79</v>
      </c>
      <c r="S33" s="149" t="s">
        <v>90</v>
      </c>
      <c r="T33" s="150"/>
      <c r="U33" s="4"/>
    </row>
    <row r="34" spans="1:22" ht="15" x14ac:dyDescent="0.15">
      <c r="A34" s="164"/>
      <c r="B34" s="165"/>
      <c r="C34" s="165"/>
      <c r="D34" s="165"/>
      <c r="E34" s="69"/>
      <c r="F34" s="70"/>
      <c r="G34" s="71"/>
      <c r="H34" s="72"/>
      <c r="I34" s="174"/>
      <c r="J34" s="175"/>
      <c r="K34" s="164"/>
      <c r="L34" s="165"/>
      <c r="M34" s="165"/>
      <c r="N34" s="165"/>
      <c r="O34" s="69"/>
      <c r="P34" s="70"/>
      <c r="Q34" s="71"/>
      <c r="R34" s="95"/>
      <c r="S34" s="151"/>
      <c r="T34" s="152"/>
      <c r="V34" s="4"/>
    </row>
    <row r="35" spans="1:22" ht="15" x14ac:dyDescent="0.15">
      <c r="A35" s="170"/>
      <c r="B35" s="171"/>
      <c r="C35" s="171"/>
      <c r="D35" s="171"/>
      <c r="E35" s="73"/>
      <c r="F35" s="74"/>
      <c r="G35" s="75"/>
      <c r="H35" s="76"/>
      <c r="I35" s="172"/>
      <c r="J35" s="173"/>
      <c r="K35" s="170"/>
      <c r="L35" s="171"/>
      <c r="M35" s="171"/>
      <c r="N35" s="171"/>
      <c r="O35" s="73"/>
      <c r="P35" s="74"/>
      <c r="Q35" s="75"/>
      <c r="R35" s="77"/>
      <c r="S35" s="153"/>
      <c r="T35" s="154"/>
    </row>
    <row r="36" spans="1:22" ht="15" x14ac:dyDescent="0.15">
      <c r="A36" s="170"/>
      <c r="B36" s="171"/>
      <c r="C36" s="171"/>
      <c r="D36" s="171"/>
      <c r="E36" s="73"/>
      <c r="F36" s="74"/>
      <c r="G36" s="75"/>
      <c r="H36" s="76"/>
      <c r="I36" s="172"/>
      <c r="J36" s="173"/>
      <c r="K36" s="170"/>
      <c r="L36" s="171"/>
      <c r="M36" s="171"/>
      <c r="N36" s="171"/>
      <c r="O36" s="73"/>
      <c r="P36" s="74"/>
      <c r="Q36" s="75"/>
      <c r="R36" s="77"/>
      <c r="S36" s="153"/>
      <c r="T36" s="154"/>
    </row>
    <row r="37" spans="1:22" ht="15" x14ac:dyDescent="0.15">
      <c r="A37" s="170"/>
      <c r="B37" s="171"/>
      <c r="C37" s="171"/>
      <c r="D37" s="171"/>
      <c r="E37" s="73"/>
      <c r="F37" s="74"/>
      <c r="G37" s="75"/>
      <c r="H37" s="76"/>
      <c r="I37" s="172"/>
      <c r="J37" s="173"/>
      <c r="K37" s="170"/>
      <c r="L37" s="171"/>
      <c r="M37" s="171"/>
      <c r="N37" s="171"/>
      <c r="O37" s="73"/>
      <c r="P37" s="74"/>
      <c r="Q37" s="75"/>
      <c r="R37" s="77"/>
      <c r="S37" s="153"/>
      <c r="T37" s="154"/>
    </row>
    <row r="38" spans="1:22" ht="15" x14ac:dyDescent="0.15">
      <c r="A38" s="170"/>
      <c r="B38" s="171"/>
      <c r="C38" s="171"/>
      <c r="D38" s="171"/>
      <c r="E38" s="73"/>
      <c r="F38" s="74"/>
      <c r="G38" s="75"/>
      <c r="H38" s="76"/>
      <c r="I38" s="172"/>
      <c r="J38" s="173"/>
      <c r="K38" s="170"/>
      <c r="L38" s="171"/>
      <c r="M38" s="171"/>
      <c r="N38" s="171"/>
      <c r="O38" s="73"/>
      <c r="P38" s="74"/>
      <c r="Q38" s="75"/>
      <c r="R38" s="77"/>
      <c r="S38" s="153"/>
      <c r="T38" s="154"/>
    </row>
    <row r="39" spans="1:22" ht="15" x14ac:dyDescent="0.15">
      <c r="A39" s="170"/>
      <c r="B39" s="171"/>
      <c r="C39" s="171"/>
      <c r="D39" s="171"/>
      <c r="E39" s="73"/>
      <c r="F39" s="74"/>
      <c r="G39" s="75"/>
      <c r="H39" s="76"/>
      <c r="I39" s="172"/>
      <c r="J39" s="173"/>
      <c r="K39" s="170"/>
      <c r="L39" s="171"/>
      <c r="M39" s="171"/>
      <c r="N39" s="171"/>
      <c r="O39" s="73"/>
      <c r="P39" s="74"/>
      <c r="Q39" s="75"/>
      <c r="R39" s="77"/>
      <c r="S39" s="153"/>
      <c r="T39" s="154"/>
    </row>
    <row r="40" spans="1:22" ht="15" x14ac:dyDescent="0.15">
      <c r="A40" s="170"/>
      <c r="B40" s="171"/>
      <c r="C40" s="171"/>
      <c r="D40" s="171"/>
      <c r="E40" s="73"/>
      <c r="F40" s="74"/>
      <c r="G40" s="75"/>
      <c r="H40" s="76"/>
      <c r="I40" s="172"/>
      <c r="J40" s="173"/>
      <c r="K40" s="170"/>
      <c r="L40" s="171"/>
      <c r="M40" s="171"/>
      <c r="N40" s="171"/>
      <c r="O40" s="73"/>
      <c r="P40" s="74"/>
      <c r="Q40" s="75"/>
      <c r="R40" s="77"/>
      <c r="S40" s="153"/>
      <c r="T40" s="154"/>
    </row>
    <row r="41" spans="1:22" ht="15" x14ac:dyDescent="0.15">
      <c r="A41" s="170"/>
      <c r="B41" s="171"/>
      <c r="C41" s="171"/>
      <c r="D41" s="171"/>
      <c r="E41" s="73"/>
      <c r="F41" s="74"/>
      <c r="G41" s="75"/>
      <c r="H41" s="76"/>
      <c r="I41" s="172"/>
      <c r="J41" s="173"/>
      <c r="K41" s="170"/>
      <c r="L41" s="171"/>
      <c r="M41" s="171"/>
      <c r="N41" s="171"/>
      <c r="O41" s="73"/>
      <c r="P41" s="74"/>
      <c r="Q41" s="75"/>
      <c r="R41" s="77"/>
      <c r="S41" s="153"/>
      <c r="T41" s="154"/>
    </row>
    <row r="42" spans="1:22" ht="15" x14ac:dyDescent="0.15">
      <c r="A42" s="170"/>
      <c r="B42" s="171"/>
      <c r="C42" s="171"/>
      <c r="D42" s="171"/>
      <c r="E42" s="73"/>
      <c r="F42" s="74"/>
      <c r="G42" s="75"/>
      <c r="H42" s="76"/>
      <c r="I42" s="172"/>
      <c r="J42" s="173"/>
      <c r="K42" s="170"/>
      <c r="L42" s="171"/>
      <c r="M42" s="171"/>
      <c r="N42" s="171"/>
      <c r="O42" s="73"/>
      <c r="P42" s="74"/>
      <c r="Q42" s="75"/>
      <c r="R42" s="77"/>
      <c r="S42" s="153"/>
      <c r="T42" s="154"/>
    </row>
    <row r="43" spans="1:22" ht="15" x14ac:dyDescent="0.15">
      <c r="A43" s="170"/>
      <c r="B43" s="171"/>
      <c r="C43" s="171"/>
      <c r="D43" s="171"/>
      <c r="E43" s="73"/>
      <c r="F43" s="74"/>
      <c r="G43" s="75"/>
      <c r="H43" s="76"/>
      <c r="I43" s="172"/>
      <c r="J43" s="173"/>
      <c r="K43" s="170"/>
      <c r="L43" s="171"/>
      <c r="M43" s="171"/>
      <c r="N43" s="171"/>
      <c r="O43" s="73"/>
      <c r="P43" s="74"/>
      <c r="Q43" s="75"/>
      <c r="R43" s="77"/>
      <c r="S43" s="153"/>
      <c r="T43" s="154"/>
    </row>
    <row r="44" spans="1:22" ht="15" x14ac:dyDescent="0.15">
      <c r="A44" s="170"/>
      <c r="B44" s="171"/>
      <c r="C44" s="171"/>
      <c r="D44" s="171"/>
      <c r="E44" s="73"/>
      <c r="F44" s="74"/>
      <c r="G44" s="75"/>
      <c r="H44" s="76"/>
      <c r="I44" s="172"/>
      <c r="J44" s="173"/>
      <c r="K44" s="170"/>
      <c r="L44" s="171"/>
      <c r="M44" s="171"/>
      <c r="N44" s="171"/>
      <c r="O44" s="73"/>
      <c r="P44" s="74"/>
      <c r="Q44" s="75"/>
      <c r="R44" s="77"/>
      <c r="S44" s="153"/>
      <c r="T44" s="154"/>
    </row>
    <row r="45" spans="1:22" ht="15" x14ac:dyDescent="0.15">
      <c r="A45" s="170"/>
      <c r="B45" s="171"/>
      <c r="C45" s="171"/>
      <c r="D45" s="171"/>
      <c r="E45" s="73"/>
      <c r="F45" s="74"/>
      <c r="G45" s="75"/>
      <c r="H45" s="76"/>
      <c r="I45" s="172"/>
      <c r="J45" s="173"/>
      <c r="K45" s="170"/>
      <c r="L45" s="171"/>
      <c r="M45" s="171"/>
      <c r="N45" s="171"/>
      <c r="O45" s="73"/>
      <c r="P45" s="74"/>
      <c r="Q45" s="75"/>
      <c r="R45" s="77"/>
      <c r="S45" s="153"/>
      <c r="T45" s="154"/>
    </row>
    <row r="46" spans="1:22" ht="15.75" thickBot="1" x14ac:dyDescent="0.2">
      <c r="A46" s="177"/>
      <c r="B46" s="178"/>
      <c r="C46" s="178"/>
      <c r="D46" s="178"/>
      <c r="E46" s="84"/>
      <c r="F46" s="85"/>
      <c r="G46" s="86"/>
      <c r="H46" s="87"/>
      <c r="I46" s="179"/>
      <c r="J46" s="180"/>
      <c r="K46" s="177"/>
      <c r="L46" s="178"/>
      <c r="M46" s="178"/>
      <c r="N46" s="178"/>
      <c r="O46" s="84"/>
      <c r="P46" s="85"/>
      <c r="Q46" s="86"/>
      <c r="R46" s="88"/>
      <c r="S46" s="155"/>
      <c r="T46" s="156"/>
    </row>
    <row r="47" spans="1:22" ht="15.6" customHeight="1" thickBot="1" x14ac:dyDescent="0.2">
      <c r="A47" s="185" t="s">
        <v>91</v>
      </c>
      <c r="B47" s="186"/>
      <c r="C47" s="186"/>
      <c r="D47" s="186"/>
      <c r="E47" s="186"/>
      <c r="F47" s="186"/>
      <c r="G47" s="186"/>
      <c r="H47" s="186"/>
      <c r="I47" s="186"/>
      <c r="J47" s="186"/>
      <c r="K47" s="186"/>
      <c r="L47" s="186"/>
      <c r="M47" s="186"/>
      <c r="N47" s="186"/>
      <c r="O47" s="186"/>
      <c r="P47" s="186"/>
      <c r="Q47" s="186"/>
      <c r="R47" s="186"/>
      <c r="S47" s="186"/>
      <c r="T47" s="187"/>
    </row>
    <row r="48" spans="1:22" ht="15" thickBot="1" x14ac:dyDescent="0.2">
      <c r="A48" s="188" t="s">
        <v>80</v>
      </c>
      <c r="B48" s="163"/>
      <c r="C48" s="184" t="s">
        <v>81</v>
      </c>
      <c r="D48" s="184"/>
      <c r="E48" s="93" t="s">
        <v>75</v>
      </c>
      <c r="F48" s="93" t="s">
        <v>76</v>
      </c>
      <c r="G48" s="93" t="s">
        <v>77</v>
      </c>
      <c r="H48" s="163" t="s">
        <v>82</v>
      </c>
      <c r="I48" s="163"/>
      <c r="J48" s="163"/>
      <c r="K48" s="163"/>
      <c r="L48" s="94" t="s">
        <v>83</v>
      </c>
      <c r="M48" s="93" t="s">
        <v>84</v>
      </c>
      <c r="N48" s="189" t="s">
        <v>85</v>
      </c>
      <c r="O48" s="189"/>
      <c r="P48" s="189"/>
      <c r="Q48" s="189"/>
      <c r="R48" s="189"/>
      <c r="S48" s="189"/>
      <c r="T48" s="190"/>
    </row>
    <row r="49" spans="1:21" ht="14.45" customHeight="1" x14ac:dyDescent="0.15">
      <c r="A49" s="191"/>
      <c r="B49" s="181"/>
      <c r="C49" s="181"/>
      <c r="D49" s="181"/>
      <c r="E49" s="80"/>
      <c r="F49" s="81"/>
      <c r="G49" s="81"/>
      <c r="H49" s="181"/>
      <c r="I49" s="181"/>
      <c r="J49" s="181"/>
      <c r="K49" s="181"/>
      <c r="L49" s="82"/>
      <c r="M49" s="83"/>
      <c r="N49" s="161"/>
      <c r="O49" s="161"/>
      <c r="P49" s="161"/>
      <c r="Q49" s="161"/>
      <c r="R49" s="161"/>
      <c r="S49" s="161"/>
      <c r="T49" s="162"/>
    </row>
    <row r="50" spans="1:21" x14ac:dyDescent="0.15">
      <c r="A50" s="157"/>
      <c r="B50" s="158"/>
      <c r="C50" s="158"/>
      <c r="D50" s="158"/>
      <c r="E50" s="64"/>
      <c r="F50" s="78"/>
      <c r="G50" s="78"/>
      <c r="H50" s="158"/>
      <c r="I50" s="158"/>
      <c r="J50" s="158"/>
      <c r="K50" s="158"/>
      <c r="L50" s="65"/>
      <c r="M50" s="79"/>
      <c r="N50" s="159"/>
      <c r="O50" s="159"/>
      <c r="P50" s="159"/>
      <c r="Q50" s="159"/>
      <c r="R50" s="159"/>
      <c r="S50" s="159"/>
      <c r="T50" s="160"/>
    </row>
    <row r="51" spans="1:21" x14ac:dyDescent="0.15">
      <c r="A51" s="157"/>
      <c r="B51" s="158"/>
      <c r="C51" s="158"/>
      <c r="D51" s="158"/>
      <c r="E51" s="64"/>
      <c r="F51" s="78"/>
      <c r="G51" s="78"/>
      <c r="H51" s="158"/>
      <c r="I51" s="158"/>
      <c r="J51" s="158"/>
      <c r="K51" s="158"/>
      <c r="L51" s="65"/>
      <c r="M51" s="79"/>
      <c r="N51" s="159"/>
      <c r="O51" s="159"/>
      <c r="P51" s="159"/>
      <c r="Q51" s="159"/>
      <c r="R51" s="159"/>
      <c r="S51" s="159"/>
      <c r="T51" s="160"/>
    </row>
    <row r="52" spans="1:21" x14ac:dyDescent="0.15">
      <c r="A52" s="157"/>
      <c r="B52" s="158"/>
      <c r="C52" s="158"/>
      <c r="D52" s="158"/>
      <c r="E52" s="64"/>
      <c r="F52" s="78"/>
      <c r="G52" s="78"/>
      <c r="H52" s="158"/>
      <c r="I52" s="158"/>
      <c r="J52" s="158"/>
      <c r="K52" s="158"/>
      <c r="L52" s="65"/>
      <c r="M52" s="79"/>
      <c r="N52" s="159"/>
      <c r="O52" s="159"/>
      <c r="P52" s="159"/>
      <c r="Q52" s="159"/>
      <c r="R52" s="159"/>
      <c r="S52" s="159"/>
      <c r="T52" s="160"/>
    </row>
    <row r="53" spans="1:21" x14ac:dyDescent="0.15">
      <c r="A53" s="157"/>
      <c r="B53" s="158"/>
      <c r="C53" s="158"/>
      <c r="D53" s="158"/>
      <c r="E53" s="64"/>
      <c r="F53" s="78"/>
      <c r="G53" s="78"/>
      <c r="H53" s="158"/>
      <c r="I53" s="158"/>
      <c r="J53" s="158"/>
      <c r="K53" s="158"/>
      <c r="L53" s="65"/>
      <c r="M53" s="79"/>
      <c r="N53" s="159"/>
      <c r="O53" s="159"/>
      <c r="P53" s="159"/>
      <c r="Q53" s="159"/>
      <c r="R53" s="159"/>
      <c r="S53" s="159"/>
      <c r="T53" s="160"/>
    </row>
    <row r="54" spans="1:21" x14ac:dyDescent="0.15">
      <c r="A54" s="157"/>
      <c r="B54" s="158"/>
      <c r="C54" s="158"/>
      <c r="D54" s="158"/>
      <c r="E54" s="64"/>
      <c r="F54" s="78"/>
      <c r="G54" s="78"/>
      <c r="H54" s="158"/>
      <c r="I54" s="158"/>
      <c r="J54" s="158"/>
      <c r="K54" s="158"/>
      <c r="L54" s="65"/>
      <c r="M54" s="79"/>
      <c r="N54" s="159"/>
      <c r="O54" s="159"/>
      <c r="P54" s="159"/>
      <c r="Q54" s="159"/>
      <c r="R54" s="159"/>
      <c r="S54" s="159"/>
      <c r="T54" s="160"/>
    </row>
    <row r="55" spans="1:21" x14ac:dyDescent="0.15">
      <c r="A55" s="157"/>
      <c r="B55" s="158"/>
      <c r="C55" s="158"/>
      <c r="D55" s="158"/>
      <c r="E55" s="64"/>
      <c r="F55" s="78"/>
      <c r="G55" s="78"/>
      <c r="H55" s="158"/>
      <c r="I55" s="158"/>
      <c r="J55" s="158"/>
      <c r="K55" s="158"/>
      <c r="L55" s="65"/>
      <c r="M55" s="79"/>
      <c r="N55" s="159"/>
      <c r="O55" s="159"/>
      <c r="P55" s="159"/>
      <c r="Q55" s="159"/>
      <c r="R55" s="159"/>
      <c r="S55" s="159"/>
      <c r="T55" s="160"/>
    </row>
    <row r="56" spans="1:21" x14ac:dyDescent="0.15">
      <c r="A56" s="157"/>
      <c r="B56" s="158"/>
      <c r="C56" s="158"/>
      <c r="D56" s="158"/>
      <c r="E56" s="64"/>
      <c r="F56" s="78"/>
      <c r="G56" s="78"/>
      <c r="H56" s="158"/>
      <c r="I56" s="158"/>
      <c r="J56" s="158"/>
      <c r="K56" s="158"/>
      <c r="L56" s="65"/>
      <c r="M56" s="79"/>
      <c r="N56" s="159"/>
      <c r="O56" s="159"/>
      <c r="P56" s="159"/>
      <c r="Q56" s="159"/>
      <c r="R56" s="159"/>
      <c r="S56" s="159"/>
      <c r="T56" s="160"/>
    </row>
    <row r="57" spans="1:21" x14ac:dyDescent="0.15">
      <c r="A57" s="157"/>
      <c r="B57" s="158"/>
      <c r="C57" s="158"/>
      <c r="D57" s="158"/>
      <c r="E57" s="64"/>
      <c r="F57" s="78"/>
      <c r="G57" s="78"/>
      <c r="H57" s="158"/>
      <c r="I57" s="158"/>
      <c r="J57" s="158"/>
      <c r="K57" s="158"/>
      <c r="L57" s="65"/>
      <c r="M57" s="79"/>
      <c r="N57" s="159"/>
      <c r="O57" s="159"/>
      <c r="P57" s="159"/>
      <c r="Q57" s="159"/>
      <c r="R57" s="159"/>
      <c r="S57" s="159"/>
      <c r="T57" s="160"/>
    </row>
    <row r="58" spans="1:21" x14ac:dyDescent="0.15">
      <c r="A58" s="157"/>
      <c r="B58" s="158"/>
      <c r="C58" s="158"/>
      <c r="D58" s="158"/>
      <c r="E58" s="64"/>
      <c r="F58" s="78"/>
      <c r="G58" s="78"/>
      <c r="H58" s="158"/>
      <c r="I58" s="158"/>
      <c r="J58" s="158"/>
      <c r="K58" s="158"/>
      <c r="L58" s="65"/>
      <c r="M58" s="79"/>
      <c r="N58" s="159"/>
      <c r="O58" s="159"/>
      <c r="P58" s="159"/>
      <c r="Q58" s="159"/>
      <c r="R58" s="159"/>
      <c r="S58" s="159"/>
      <c r="T58" s="160"/>
    </row>
    <row r="59" spans="1:21" x14ac:dyDescent="0.15">
      <c r="A59" s="157"/>
      <c r="B59" s="158"/>
      <c r="C59" s="158"/>
      <c r="D59" s="158"/>
      <c r="E59" s="64"/>
      <c r="F59" s="78"/>
      <c r="G59" s="78"/>
      <c r="H59" s="158"/>
      <c r="I59" s="158"/>
      <c r="J59" s="158"/>
      <c r="K59" s="158"/>
      <c r="L59" s="65"/>
      <c r="M59" s="79"/>
      <c r="N59" s="159"/>
      <c r="O59" s="159"/>
      <c r="P59" s="159"/>
      <c r="Q59" s="159"/>
      <c r="R59" s="159"/>
      <c r="S59" s="159"/>
      <c r="T59" s="160"/>
    </row>
    <row r="60" spans="1:21" x14ac:dyDescent="0.15">
      <c r="A60" s="157"/>
      <c r="B60" s="158"/>
      <c r="C60" s="158"/>
      <c r="D60" s="158"/>
      <c r="E60" s="64"/>
      <c r="F60" s="78"/>
      <c r="G60" s="78"/>
      <c r="H60" s="158"/>
      <c r="I60" s="158"/>
      <c r="J60" s="158"/>
      <c r="K60" s="158"/>
      <c r="L60" s="65"/>
      <c r="M60" s="79"/>
      <c r="N60" s="159"/>
      <c r="O60" s="159"/>
      <c r="P60" s="159"/>
      <c r="Q60" s="159"/>
      <c r="R60" s="159"/>
      <c r="S60" s="159"/>
      <c r="T60" s="160"/>
    </row>
    <row r="61" spans="1:21" ht="14.25" thickBot="1" x14ac:dyDescent="0.2">
      <c r="A61" s="176"/>
      <c r="B61" s="135"/>
      <c r="C61" s="135"/>
      <c r="D61" s="135"/>
      <c r="E61" s="89"/>
      <c r="F61" s="90"/>
      <c r="G61" s="90"/>
      <c r="H61" s="135"/>
      <c r="I61" s="135"/>
      <c r="J61" s="135"/>
      <c r="K61" s="135"/>
      <c r="L61" s="91"/>
      <c r="M61" s="92"/>
      <c r="N61" s="136"/>
      <c r="O61" s="136"/>
      <c r="P61" s="136"/>
      <c r="Q61" s="136"/>
      <c r="R61" s="136"/>
      <c r="S61" s="136"/>
      <c r="T61" s="137"/>
    </row>
    <row r="62" spans="1:21" ht="15.75" thickBot="1" x14ac:dyDescent="0.2">
      <c r="A62" s="138" t="s">
        <v>86</v>
      </c>
      <c r="B62" s="139"/>
      <c r="C62" s="140"/>
      <c r="D62" s="140"/>
      <c r="E62" s="140"/>
      <c r="F62" s="66" t="s">
        <v>87</v>
      </c>
      <c r="G62" s="141"/>
      <c r="H62" s="141"/>
      <c r="I62" s="141"/>
      <c r="J62" s="141"/>
      <c r="K62" s="67" t="s">
        <v>88</v>
      </c>
      <c r="L62" s="141"/>
      <c r="M62" s="141"/>
      <c r="N62" s="141"/>
      <c r="O62" s="68" t="s">
        <v>89</v>
      </c>
      <c r="P62" s="142"/>
      <c r="Q62" s="142"/>
      <c r="R62" s="142"/>
      <c r="S62" s="142"/>
      <c r="T62" s="143"/>
      <c r="U62" s="4"/>
    </row>
    <row r="63" spans="1:21" x14ac:dyDescent="0.15">
      <c r="Q63" s="4"/>
      <c r="R63" s="1"/>
    </row>
  </sheetData>
  <mergeCells count="245">
    <mergeCell ref="S2:T2"/>
    <mergeCell ref="A1:T1"/>
    <mergeCell ref="M2:N2"/>
    <mergeCell ref="A3:H3"/>
    <mergeCell ref="I3:O3"/>
    <mergeCell ref="P3:T3"/>
    <mergeCell ref="A5:B5"/>
    <mergeCell ref="C5:D5"/>
    <mergeCell ref="E5:F5"/>
    <mergeCell ref="G5:H5"/>
    <mergeCell ref="M5:N5"/>
    <mergeCell ref="A4:B4"/>
    <mergeCell ref="C4:D4"/>
    <mergeCell ref="E4:F4"/>
    <mergeCell ref="G4:H4"/>
    <mergeCell ref="M4:N4"/>
    <mergeCell ref="P5:T5"/>
    <mergeCell ref="H2:I2"/>
    <mergeCell ref="K2:L2"/>
    <mergeCell ref="P4:T4"/>
    <mergeCell ref="I4:J5"/>
    <mergeCell ref="K4:L5"/>
    <mergeCell ref="R12:T12"/>
    <mergeCell ref="C8:D8"/>
    <mergeCell ref="E8:F8"/>
    <mergeCell ref="D2:E2"/>
    <mergeCell ref="I8:O8"/>
    <mergeCell ref="P8:T8"/>
    <mergeCell ref="M7:N7"/>
    <mergeCell ref="P6:T6"/>
    <mergeCell ref="A7:B7"/>
    <mergeCell ref="C7:D7"/>
    <mergeCell ref="P7:T7"/>
    <mergeCell ref="A6:B6"/>
    <mergeCell ref="C6:D6"/>
    <mergeCell ref="E6:F6"/>
    <mergeCell ref="G6:H6"/>
    <mergeCell ref="I6:J6"/>
    <mergeCell ref="K7:L7"/>
    <mergeCell ref="A8:B8"/>
    <mergeCell ref="G8:H8"/>
    <mergeCell ref="F2:G2"/>
    <mergeCell ref="K6:L6"/>
    <mergeCell ref="M6:N6"/>
    <mergeCell ref="C10:D10"/>
    <mergeCell ref="E10:F10"/>
    <mergeCell ref="G10:H10"/>
    <mergeCell ref="I10:J10"/>
    <mergeCell ref="K10:L10"/>
    <mergeCell ref="M10:N10"/>
    <mergeCell ref="A9:B9"/>
    <mergeCell ref="C9:D9"/>
    <mergeCell ref="E9:F9"/>
    <mergeCell ref="G9:H9"/>
    <mergeCell ref="I9:J9"/>
    <mergeCell ref="K9:L9"/>
    <mergeCell ref="I7:J7"/>
    <mergeCell ref="P9:T9"/>
    <mergeCell ref="P10:T10"/>
    <mergeCell ref="R13:S13"/>
    <mergeCell ref="A21:C21"/>
    <mergeCell ref="A22:P22"/>
    <mergeCell ref="A30:C30"/>
    <mergeCell ref="C12:D12"/>
    <mergeCell ref="E12:F12"/>
    <mergeCell ref="G12:H12"/>
    <mergeCell ref="I12:J12"/>
    <mergeCell ref="K12:L12"/>
    <mergeCell ref="M12:N12"/>
    <mergeCell ref="A11:B11"/>
    <mergeCell ref="C11:D11"/>
    <mergeCell ref="E11:F11"/>
    <mergeCell ref="G11:H11"/>
    <mergeCell ref="I11:J11"/>
    <mergeCell ref="K11:L11"/>
    <mergeCell ref="M11:N11"/>
    <mergeCell ref="A13:Q13"/>
    <mergeCell ref="P11:T11"/>
    <mergeCell ref="M9:N9"/>
    <mergeCell ref="A10:B10"/>
    <mergeCell ref="Q22:R22"/>
    <mergeCell ref="C39:D39"/>
    <mergeCell ref="C40:D40"/>
    <mergeCell ref="C41:D41"/>
    <mergeCell ref="C36:D36"/>
    <mergeCell ref="C37:D37"/>
    <mergeCell ref="C38:D38"/>
    <mergeCell ref="A33:B33"/>
    <mergeCell ref="I33:J33"/>
    <mergeCell ref="M33:N33"/>
    <mergeCell ref="A36:B36"/>
    <mergeCell ref="M36:N36"/>
    <mergeCell ref="A37:B37"/>
    <mergeCell ref="M37:N37"/>
    <mergeCell ref="A38:B38"/>
    <mergeCell ref="M38:N38"/>
    <mergeCell ref="I36:J36"/>
    <mergeCell ref="K36:L36"/>
    <mergeCell ref="I37:J37"/>
    <mergeCell ref="K37:L37"/>
    <mergeCell ref="I38:J38"/>
    <mergeCell ref="K38:L38"/>
    <mergeCell ref="A39:B39"/>
    <mergeCell ref="M39:N39"/>
    <mergeCell ref="A12:B12"/>
    <mergeCell ref="C61:D61"/>
    <mergeCell ref="L62:N62"/>
    <mergeCell ref="C57:D57"/>
    <mergeCell ref="C58:D58"/>
    <mergeCell ref="C60:D60"/>
    <mergeCell ref="C54:D54"/>
    <mergeCell ref="C55:D55"/>
    <mergeCell ref="C56:D56"/>
    <mergeCell ref="C51:D51"/>
    <mergeCell ref="C52:D52"/>
    <mergeCell ref="C53:D53"/>
    <mergeCell ref="C48:D48"/>
    <mergeCell ref="C49:D49"/>
    <mergeCell ref="C45:D45"/>
    <mergeCell ref="C46:D46"/>
    <mergeCell ref="A47:T47"/>
    <mergeCell ref="A48:B48"/>
    <mergeCell ref="H48:K48"/>
    <mergeCell ref="N48:O48"/>
    <mergeCell ref="P48:T48"/>
    <mergeCell ref="A49:B49"/>
    <mergeCell ref="C42:D42"/>
    <mergeCell ref="C43:D43"/>
    <mergeCell ref="A40:B40"/>
    <mergeCell ref="M40:N40"/>
    <mergeCell ref="A41:B41"/>
    <mergeCell ref="M41:N41"/>
    <mergeCell ref="I39:J39"/>
    <mergeCell ref="K39:L39"/>
    <mergeCell ref="I40:J40"/>
    <mergeCell ref="K40:L40"/>
    <mergeCell ref="I41:J41"/>
    <mergeCell ref="K41:L41"/>
    <mergeCell ref="A42:B42"/>
    <mergeCell ref="M42:N42"/>
    <mergeCell ref="A43:B43"/>
    <mergeCell ref="M43:N43"/>
    <mergeCell ref="A44:B44"/>
    <mergeCell ref="M44:N44"/>
    <mergeCell ref="I42:J42"/>
    <mergeCell ref="K42:L42"/>
    <mergeCell ref="I43:J43"/>
    <mergeCell ref="K43:L43"/>
    <mergeCell ref="I44:J44"/>
    <mergeCell ref="K44:L44"/>
    <mergeCell ref="C44:D44"/>
    <mergeCell ref="A60:B60"/>
    <mergeCell ref="H60:K60"/>
    <mergeCell ref="N60:O60"/>
    <mergeCell ref="P60:T60"/>
    <mergeCell ref="A61:B61"/>
    <mergeCell ref="A45:B45"/>
    <mergeCell ref="M45:N45"/>
    <mergeCell ref="A46:B46"/>
    <mergeCell ref="M46:N46"/>
    <mergeCell ref="I45:J45"/>
    <mergeCell ref="K45:L45"/>
    <mergeCell ref="I46:J46"/>
    <mergeCell ref="K46:L46"/>
    <mergeCell ref="A58:B58"/>
    <mergeCell ref="H58:K58"/>
    <mergeCell ref="N58:O58"/>
    <mergeCell ref="P58:T58"/>
    <mergeCell ref="A59:B59"/>
    <mergeCell ref="C59:D59"/>
    <mergeCell ref="H59:K59"/>
    <mergeCell ref="N59:O59"/>
    <mergeCell ref="P59:T59"/>
    <mergeCell ref="H49:K49"/>
    <mergeCell ref="N49:O49"/>
    <mergeCell ref="C33:D33"/>
    <mergeCell ref="A34:B34"/>
    <mergeCell ref="C34:D34"/>
    <mergeCell ref="K34:L34"/>
    <mergeCell ref="A32:J32"/>
    <mergeCell ref="K32:T32"/>
    <mergeCell ref="A35:B35"/>
    <mergeCell ref="C35:D35"/>
    <mergeCell ref="I35:J35"/>
    <mergeCell ref="K35:L35"/>
    <mergeCell ref="I34:J34"/>
    <mergeCell ref="M34:N34"/>
    <mergeCell ref="M35:N35"/>
    <mergeCell ref="P49:T49"/>
    <mergeCell ref="A50:B50"/>
    <mergeCell ref="C50:D50"/>
    <mergeCell ref="H50:K50"/>
    <mergeCell ref="N50:O50"/>
    <mergeCell ref="P50:T50"/>
    <mergeCell ref="A51:B51"/>
    <mergeCell ref="H51:K51"/>
    <mergeCell ref="N51:O51"/>
    <mergeCell ref="P51:T51"/>
    <mergeCell ref="A52:B52"/>
    <mergeCell ref="H52:K52"/>
    <mergeCell ref="N52:O52"/>
    <mergeCell ref="P52:T52"/>
    <mergeCell ref="A53:B53"/>
    <mergeCell ref="H53:K53"/>
    <mergeCell ref="N53:O53"/>
    <mergeCell ref="P53:T53"/>
    <mergeCell ref="A54:B54"/>
    <mergeCell ref="H54:K54"/>
    <mergeCell ref="N54:O54"/>
    <mergeCell ref="P54:T54"/>
    <mergeCell ref="H55:K55"/>
    <mergeCell ref="N55:O55"/>
    <mergeCell ref="P55:T55"/>
    <mergeCell ref="A56:B56"/>
    <mergeCell ref="H56:K56"/>
    <mergeCell ref="N56:O56"/>
    <mergeCell ref="P56:T56"/>
    <mergeCell ref="A57:B57"/>
    <mergeCell ref="H57:K57"/>
    <mergeCell ref="N57:O57"/>
    <mergeCell ref="P57:T57"/>
    <mergeCell ref="H61:K61"/>
    <mergeCell ref="N61:O61"/>
    <mergeCell ref="P61:T61"/>
    <mergeCell ref="A62:B62"/>
    <mergeCell ref="C62:E62"/>
    <mergeCell ref="G62:J62"/>
    <mergeCell ref="P62:T62"/>
    <mergeCell ref="A31:T31"/>
    <mergeCell ref="K33:L33"/>
    <mergeCell ref="S33:T33"/>
    <mergeCell ref="S34:T34"/>
    <mergeCell ref="S35:T35"/>
    <mergeCell ref="S36:T36"/>
    <mergeCell ref="S37:T37"/>
    <mergeCell ref="S38:T38"/>
    <mergeCell ref="S39:T39"/>
    <mergeCell ref="S40:T40"/>
    <mergeCell ref="S41:T41"/>
    <mergeCell ref="S42:T42"/>
    <mergeCell ref="S43:T43"/>
    <mergeCell ref="S44:T44"/>
    <mergeCell ref="S45:T45"/>
    <mergeCell ref="S46:T46"/>
    <mergeCell ref="A55:B55"/>
  </mergeCells>
  <phoneticPr fontId="3" type="noConversion"/>
  <dataValidations count="3">
    <dataValidation type="list" allowBlank="1" showInputMessage="1" showErrorMessage="1" sqref="C11:D11">
      <formula1>"牛仔,色布,染色"</formula1>
    </dataValidation>
    <dataValidation type="list" allowBlank="1" showInputMessage="1" showErrorMessage="1" sqref="B2">
      <formula1>"常州,河南,重庆,东北,其他,,柬埔寨,坦桑尼亚,缅甸"</formula1>
    </dataValidation>
    <dataValidation type="list" allowBlank="1" showInputMessage="1" showErrorMessage="1" sqref="K9:L9">
      <formula1>"计划一部,计划二部,计划三部,计划四部,计划五部"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7" orientation="portrait" verticalDpi="300" r:id="rId1"/>
  <ignoredErrors>
    <ignoredError sqref="D21:S21" formulaRange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工厂名和客户品牌的规范叫法!$A$2:$A$20</xm:f>
          </x14:formula1>
          <xm:sqref>K6:L6</xm:sqref>
        </x14:dataValidation>
        <x14:dataValidation type="list" allowBlank="1" showInputMessage="1" showErrorMessage="1">
          <x14:formula1>
            <xm:f>工厂名和客户品牌的规范叫法!A2:A20</xm:f>
          </x14:formula1>
          <xm:sqref>K7:L7</xm:sqref>
        </x14:dataValidation>
        <x14:dataValidation type="list" allowBlank="1" showInputMessage="1" showErrorMessage="1">
          <x14:formula1>
            <xm:f>工厂名和客户品牌的规范叫法!$A$2:$A$20</xm:f>
          </x14:formula1>
          <xm:sqref>K4:L5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51"/>
  <sheetViews>
    <sheetView workbookViewId="0">
      <selection activeCell="A10" sqref="A10"/>
    </sheetView>
  </sheetViews>
  <sheetFormatPr defaultColWidth="9" defaultRowHeight="13.5" x14ac:dyDescent="0.15"/>
  <cols>
    <col min="1" max="2" width="25.625" style="58" customWidth="1"/>
    <col min="3" max="3" width="20.75" style="58" customWidth="1"/>
    <col min="4" max="16384" width="9" style="58"/>
  </cols>
  <sheetData>
    <row r="1" spans="1:2" x14ac:dyDescent="0.15">
      <c r="A1" s="57" t="s">
        <v>56</v>
      </c>
      <c r="B1" s="57" t="s">
        <v>57</v>
      </c>
    </row>
    <row r="2" spans="1:2" x14ac:dyDescent="0.15">
      <c r="A2" s="58" t="s">
        <v>58</v>
      </c>
      <c r="B2" s="58" t="s">
        <v>110</v>
      </c>
    </row>
    <row r="3" spans="1:2" x14ac:dyDescent="0.15">
      <c r="A3" s="58" t="s">
        <v>93</v>
      </c>
      <c r="B3" s="58" t="s">
        <v>111</v>
      </c>
    </row>
    <row r="4" spans="1:2" x14ac:dyDescent="0.15">
      <c r="A4" s="58" t="s">
        <v>102</v>
      </c>
      <c r="B4" s="58" t="s">
        <v>112</v>
      </c>
    </row>
    <row r="5" spans="1:2" x14ac:dyDescent="0.15">
      <c r="A5" s="58" t="s">
        <v>104</v>
      </c>
      <c r="B5" s="58" t="s">
        <v>113</v>
      </c>
    </row>
    <row r="6" spans="1:2" x14ac:dyDescent="0.15">
      <c r="A6" s="58" t="s">
        <v>160</v>
      </c>
      <c r="B6" s="58" t="s">
        <v>114</v>
      </c>
    </row>
    <row r="7" spans="1:2" x14ac:dyDescent="0.15">
      <c r="A7" s="58" t="s">
        <v>159</v>
      </c>
      <c r="B7" s="58" t="s">
        <v>115</v>
      </c>
    </row>
    <row r="8" spans="1:2" x14ac:dyDescent="0.15">
      <c r="A8" s="58" t="s">
        <v>165</v>
      </c>
      <c r="B8" s="58" t="s">
        <v>116</v>
      </c>
    </row>
    <row r="9" spans="1:2" x14ac:dyDescent="0.15">
      <c r="A9" s="58" t="s">
        <v>59</v>
      </c>
      <c r="B9" s="58" t="s">
        <v>117</v>
      </c>
    </row>
    <row r="10" spans="1:2" x14ac:dyDescent="0.15">
      <c r="A10" s="58" t="s">
        <v>107</v>
      </c>
      <c r="B10" s="58" t="s">
        <v>118</v>
      </c>
    </row>
    <row r="11" spans="1:2" x14ac:dyDescent="0.15">
      <c r="A11" s="58" t="s">
        <v>103</v>
      </c>
      <c r="B11" s="58" t="s">
        <v>119</v>
      </c>
    </row>
    <row r="12" spans="1:2" x14ac:dyDescent="0.15">
      <c r="B12" s="58" t="s">
        <v>120</v>
      </c>
    </row>
    <row r="13" spans="1:2" x14ac:dyDescent="0.15">
      <c r="B13" s="58" t="s">
        <v>121</v>
      </c>
    </row>
    <row r="14" spans="1:2" x14ac:dyDescent="0.15">
      <c r="B14" s="58" t="s">
        <v>122</v>
      </c>
    </row>
    <row r="15" spans="1:2" x14ac:dyDescent="0.15">
      <c r="A15" s="58" t="s">
        <v>60</v>
      </c>
      <c r="B15" s="58" t="s">
        <v>123</v>
      </c>
    </row>
    <row r="16" spans="1:2" x14ac:dyDescent="0.15">
      <c r="A16" s="58" t="s">
        <v>61</v>
      </c>
      <c r="B16" s="58" t="s">
        <v>124</v>
      </c>
    </row>
    <row r="17" spans="1:2" x14ac:dyDescent="0.15">
      <c r="A17" s="58" t="s">
        <v>62</v>
      </c>
      <c r="B17" s="58" t="s">
        <v>125</v>
      </c>
    </row>
    <row r="18" spans="1:2" x14ac:dyDescent="0.15">
      <c r="B18" s="58" t="s">
        <v>126</v>
      </c>
    </row>
    <row r="19" spans="1:2" x14ac:dyDescent="0.15">
      <c r="B19" s="58" t="s">
        <v>127</v>
      </c>
    </row>
    <row r="20" spans="1:2" x14ac:dyDescent="0.15">
      <c r="B20" s="58" t="s">
        <v>128</v>
      </c>
    </row>
    <row r="21" spans="1:2" x14ac:dyDescent="0.15">
      <c r="B21" s="58" t="s">
        <v>129</v>
      </c>
    </row>
    <row r="22" spans="1:2" x14ac:dyDescent="0.15">
      <c r="B22" s="58" t="s">
        <v>130</v>
      </c>
    </row>
    <row r="23" spans="1:2" x14ac:dyDescent="0.15">
      <c r="B23" s="58" t="s">
        <v>131</v>
      </c>
    </row>
    <row r="24" spans="1:2" x14ac:dyDescent="0.15">
      <c r="B24" s="58" t="s">
        <v>132</v>
      </c>
    </row>
    <row r="25" spans="1:2" x14ac:dyDescent="0.15">
      <c r="B25" s="58" t="s">
        <v>133</v>
      </c>
    </row>
    <row r="26" spans="1:2" x14ac:dyDescent="0.15">
      <c r="B26" s="58" t="s">
        <v>134</v>
      </c>
    </row>
    <row r="27" spans="1:2" x14ac:dyDescent="0.15">
      <c r="B27" s="58" t="s">
        <v>135</v>
      </c>
    </row>
    <row r="28" spans="1:2" x14ac:dyDescent="0.15">
      <c r="B28" s="58" t="s">
        <v>136</v>
      </c>
    </row>
    <row r="29" spans="1:2" x14ac:dyDescent="0.15">
      <c r="B29" s="58" t="s">
        <v>137</v>
      </c>
    </row>
    <row r="30" spans="1:2" x14ac:dyDescent="0.15">
      <c r="B30" s="58" t="s">
        <v>138</v>
      </c>
    </row>
    <row r="31" spans="1:2" x14ac:dyDescent="0.15">
      <c r="B31" s="58" t="s">
        <v>139</v>
      </c>
    </row>
    <row r="32" spans="1:2" x14ac:dyDescent="0.15">
      <c r="B32" s="58" t="s">
        <v>140</v>
      </c>
    </row>
    <row r="33" spans="2:2" x14ac:dyDescent="0.15">
      <c r="B33" s="58" t="s">
        <v>141</v>
      </c>
    </row>
    <row r="34" spans="2:2" x14ac:dyDescent="0.15">
      <c r="B34" s="58" t="s">
        <v>142</v>
      </c>
    </row>
    <row r="35" spans="2:2" x14ac:dyDescent="0.15">
      <c r="B35" s="58" t="s">
        <v>143</v>
      </c>
    </row>
    <row r="36" spans="2:2" x14ac:dyDescent="0.15">
      <c r="B36" s="58" t="s">
        <v>144</v>
      </c>
    </row>
    <row r="37" spans="2:2" x14ac:dyDescent="0.15">
      <c r="B37" s="58" t="s">
        <v>145</v>
      </c>
    </row>
    <row r="38" spans="2:2" x14ac:dyDescent="0.15">
      <c r="B38" s="58" t="s">
        <v>146</v>
      </c>
    </row>
    <row r="39" spans="2:2" x14ac:dyDescent="0.15">
      <c r="B39" s="58" t="s">
        <v>147</v>
      </c>
    </row>
    <row r="40" spans="2:2" x14ac:dyDescent="0.15">
      <c r="B40" s="58" t="s">
        <v>148</v>
      </c>
    </row>
    <row r="41" spans="2:2" x14ac:dyDescent="0.15">
      <c r="B41" s="58" t="s">
        <v>149</v>
      </c>
    </row>
    <row r="42" spans="2:2" x14ac:dyDescent="0.15">
      <c r="B42" s="58" t="s">
        <v>150</v>
      </c>
    </row>
    <row r="43" spans="2:2" x14ac:dyDescent="0.15">
      <c r="B43" s="58" t="s">
        <v>151</v>
      </c>
    </row>
    <row r="44" spans="2:2" x14ac:dyDescent="0.15">
      <c r="B44" s="58" t="s">
        <v>152</v>
      </c>
    </row>
    <row r="45" spans="2:2" x14ac:dyDescent="0.15">
      <c r="B45" s="58" t="s">
        <v>153</v>
      </c>
    </row>
    <row r="46" spans="2:2" x14ac:dyDescent="0.15">
      <c r="B46" s="58" t="s">
        <v>161</v>
      </c>
    </row>
    <row r="47" spans="2:2" x14ac:dyDescent="0.15">
      <c r="B47" s="58" t="s">
        <v>154</v>
      </c>
    </row>
    <row r="48" spans="2:2" x14ac:dyDescent="0.15">
      <c r="B48" s="58" t="s">
        <v>155</v>
      </c>
    </row>
    <row r="49" spans="2:2" x14ac:dyDescent="0.15">
      <c r="B49" s="58" t="s">
        <v>156</v>
      </c>
    </row>
    <row r="50" spans="2:2" x14ac:dyDescent="0.15">
      <c r="B50" s="58" t="s">
        <v>157</v>
      </c>
    </row>
    <row r="51" spans="2:2" x14ac:dyDescent="0.15">
      <c r="B51" s="58" t="s">
        <v>158</v>
      </c>
    </row>
  </sheetData>
  <phoneticPr fontId="3" type="noConversion"/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填写过程中的注意事项</vt:lpstr>
      <vt:lpstr>生产通知单模版</vt:lpstr>
      <vt:lpstr>工厂名和客户品牌的规范叫法</vt:lpstr>
    </vt:vector>
  </TitlesOfParts>
  <Company>WwW.YlmF.CoM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2014-06-06T01:44:50Z</cp:lastPrinted>
  <dcterms:created xsi:type="dcterms:W3CDTF">2013-07-23T01:58:08Z</dcterms:created>
  <dcterms:modified xsi:type="dcterms:W3CDTF">2014-09-29T05:19:21Z</dcterms:modified>
</cp:coreProperties>
</file>